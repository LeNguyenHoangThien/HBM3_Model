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c425\TranDaiDuong\RCPTV8\Buddy\"/>
    </mc:Choice>
  </mc:AlternateContent>
  <xr:revisionPtr revIDLastSave="0" documentId="13_ncr:1_{87E53E75-F923-42E9-BEEC-D2578915F45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B10" i="1" l="1"/>
  <c r="AC10" i="1"/>
  <c r="AD10" i="1"/>
  <c r="AA10" i="1"/>
  <c r="AB7" i="1"/>
  <c r="AC7" i="1"/>
  <c r="AD7" i="1"/>
  <c r="AA7" i="1"/>
  <c r="AB5" i="1"/>
  <c r="AC5" i="1"/>
  <c r="AD5" i="1"/>
  <c r="AA5" i="1"/>
  <c r="X11" i="1"/>
  <c r="Y11" i="1"/>
  <c r="Z11" i="1"/>
  <c r="W11" i="1"/>
  <c r="Z4" i="1"/>
  <c r="Z5" i="1"/>
  <c r="Z6" i="1"/>
  <c r="Z7" i="1"/>
  <c r="Z8" i="1"/>
  <c r="Z9" i="1"/>
  <c r="Z10" i="1"/>
  <c r="Z3" i="1"/>
  <c r="Y4" i="1"/>
  <c r="Y5" i="1"/>
  <c r="Y6" i="1"/>
  <c r="Y7" i="1"/>
  <c r="Y8" i="1"/>
  <c r="Y9" i="1"/>
  <c r="Y10" i="1"/>
  <c r="Y3" i="1"/>
  <c r="X4" i="1"/>
  <c r="X5" i="1"/>
  <c r="X6" i="1"/>
  <c r="X7" i="1"/>
  <c r="X8" i="1"/>
  <c r="X9" i="1"/>
  <c r="X10" i="1"/>
  <c r="X3" i="1"/>
  <c r="W4" i="1"/>
  <c r="W5" i="1"/>
  <c r="W6" i="1"/>
  <c r="W7" i="1"/>
  <c r="W8" i="1"/>
  <c r="W9" i="1"/>
  <c r="W10" i="1"/>
  <c r="W3" i="1"/>
</calcChain>
</file>

<file path=xl/sharedStrings.xml><?xml version="1.0" encoding="utf-8"?>
<sst xmlns="http://schemas.openxmlformats.org/spreadsheetml/2006/main" count="32" uniqueCount="12">
  <si>
    <t>TRAD</t>
  </si>
  <si>
    <t>NAPOT</t>
  </si>
  <si>
    <t>CAMB</t>
  </si>
  <si>
    <t>RCPT</t>
  </si>
  <si>
    <t>cRCPT</t>
  </si>
  <si>
    <t>BlockSize</t>
  </si>
  <si>
    <t>ReqSize</t>
  </si>
  <si>
    <t>AlloTime</t>
  </si>
  <si>
    <t>DealloTime</t>
  </si>
  <si>
    <t>FreeNodes</t>
  </si>
  <si>
    <t>AlloNodes</t>
  </si>
  <si>
    <t>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</si>
</sst>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TRAD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47.59</c:v>
                </c:pt>
                <c:pt idx="1">
                  <c:v>36.82</c:v>
                </c:pt>
                <c:pt idx="2">
                  <c:v>23.78</c:v>
                </c:pt>
                <c:pt idx="3">
                  <c:v>19.38</c:v>
                </c:pt>
                <c:pt idx="4">
                  <c:v>17.64</c:v>
                </c:pt>
                <c:pt idx="5">
                  <c:v>17.13</c:v>
                </c:pt>
                <c:pt idx="6">
                  <c:v>15.63</c:v>
                </c:pt>
                <c:pt idx="7">
                  <c:v>16.190000000000001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6-4C2C-82F0-34D0F156DD07}"/>
            </c:ext>
          </c:extLst>
        </c:ser>
        <c:ser>
          <c:idx val="1"/>
          <c:order val="1"/>
          <c:tx>
            <c:v>NAPOT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Sheet1!$G$3:$G$10</c:f>
              <c:numCache>
                <c:formatCode>General</c:formatCode>
                <c:ptCount val="8"/>
                <c:pt idx="0">
                  <c:v>49.97</c:v>
                </c:pt>
                <c:pt idx="1">
                  <c:v>37.22</c:v>
                </c:pt>
                <c:pt idx="2">
                  <c:v>24.03</c:v>
                </c:pt>
                <c:pt idx="3">
                  <c:v>19.579999999999998</c:v>
                </c:pt>
                <c:pt idx="4">
                  <c:v>17.420000000000002</c:v>
                </c:pt>
                <c:pt idx="5">
                  <c:v>17.48</c:v>
                </c:pt>
                <c:pt idx="6">
                  <c:v>15.68</c:v>
                </c:pt>
                <c:pt idx="7">
                  <c:v>16.350000000000001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6-4C2C-82F0-34D0F156DD07}"/>
            </c:ext>
          </c:extLst>
        </c:ser>
        <c:ser>
          <c:idx val="2"/>
          <c:order val="2"/>
          <c:tx>
            <c:v>CAMB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52.32</c:v>
                </c:pt>
                <c:pt idx="1">
                  <c:v>38.56</c:v>
                </c:pt>
                <c:pt idx="2">
                  <c:v>25.15</c:v>
                </c:pt>
                <c:pt idx="3">
                  <c:v>20.38</c:v>
                </c:pt>
                <c:pt idx="4">
                  <c:v>18.55</c:v>
                </c:pt>
                <c:pt idx="5">
                  <c:v>18.91</c:v>
                </c:pt>
                <c:pt idx="6">
                  <c:v>17.36</c:v>
                </c:pt>
                <c:pt idx="7">
                  <c:v>17.39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56-4C2C-82F0-34D0F156DD07}"/>
            </c:ext>
          </c:extLst>
        </c:ser>
        <c:ser>
          <c:idx val="3"/>
          <c:order val="3"/>
          <c:tx>
            <c:v>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Sheet1!$O$3:$O$10</c:f>
              <c:numCache>
                <c:formatCode>General</c:formatCode>
                <c:ptCount val="8"/>
                <c:pt idx="0">
                  <c:v>51.53</c:v>
                </c:pt>
                <c:pt idx="1">
                  <c:v>39.24</c:v>
                </c:pt>
                <c:pt idx="2">
                  <c:v>27.01</c:v>
                </c:pt>
                <c:pt idx="3">
                  <c:v>21.62</c:v>
                </c:pt>
                <c:pt idx="4">
                  <c:v>21.06</c:v>
                </c:pt>
                <c:pt idx="5">
                  <c:v>19.14</c:v>
                </c:pt>
                <c:pt idx="6">
                  <c:v>18.3</c:v>
                </c:pt>
                <c:pt idx="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56-4C2C-82F0-34D0F156DD07}"/>
            </c:ext>
          </c:extLst>
        </c:ser>
        <c:ser>
          <c:idx val="4"/>
          <c:order val="4"/>
          <c:tx>
            <c:v>cRCPT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Sheet1!$S$3:$S$10</c:f>
              <c:numCache>
                <c:formatCode>General</c:formatCode>
                <c:ptCount val="8"/>
                <c:pt idx="0">
                  <c:v>58.2</c:v>
                </c:pt>
                <c:pt idx="1">
                  <c:v>45.4</c:v>
                </c:pt>
                <c:pt idx="2">
                  <c:v>29.85</c:v>
                </c:pt>
                <c:pt idx="3">
                  <c:v>24.43</c:v>
                </c:pt>
                <c:pt idx="4">
                  <c:v>23.89</c:v>
                </c:pt>
                <c:pt idx="5">
                  <c:v>21.43</c:v>
                </c:pt>
                <c:pt idx="6">
                  <c:v>20.260000000000002</c:v>
                </c:pt>
                <c:pt idx="7">
                  <c:v>20.97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56-4C2C-82F0-34D0F156D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Block size (pages)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Allocation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topLeftCell="C1" workbookViewId="0">
      <selection activeCell="AC14" sqref="AC14"/>
    </sheetView>
  </sheetViews>
  <sheetFormatPr defaultRowHeight="15" x14ac:dyDescent="0.25"/>
  <sheetData>
    <row r="1" spans="1:30" x14ac:dyDescent="0.25">
      <c r="C1" s="2" t="s">
        <v>0</v>
      </c>
      <c r="D1" s="2"/>
      <c r="E1" s="2"/>
      <c r="F1" s="2"/>
      <c r="G1" s="2" t="s">
        <v>1</v>
      </c>
      <c r="H1" s="2"/>
      <c r="I1" s="2"/>
      <c r="J1" s="2"/>
      <c r="K1" s="2" t="s">
        <v>2</v>
      </c>
      <c r="L1" s="2"/>
      <c r="M1" s="2"/>
      <c r="N1" s="2"/>
      <c r="O1" s="2" t="s">
        <v>3</v>
      </c>
      <c r="P1" s="2"/>
      <c r="Q1" s="2"/>
      <c r="R1" s="2"/>
      <c r="S1" s="2" t="s">
        <v>4</v>
      </c>
      <c r="T1" s="2"/>
      <c r="U1" s="2"/>
      <c r="V1" s="2"/>
      <c r="W1" s="2" t="s">
        <v>11</v>
      </c>
      <c r="X1" s="2"/>
      <c r="Y1" s="2"/>
      <c r="Z1" s="2"/>
    </row>
    <row r="2" spans="1:3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8</v>
      </c>
      <c r="I2" t="s">
        <v>9</v>
      </c>
      <c r="J2" t="s">
        <v>10</v>
      </c>
      <c r="K2" t="s">
        <v>7</v>
      </c>
      <c r="L2" t="s">
        <v>8</v>
      </c>
      <c r="M2" t="s">
        <v>9</v>
      </c>
      <c r="N2" t="s">
        <v>10</v>
      </c>
      <c r="O2" t="s">
        <v>7</v>
      </c>
      <c r="P2" t="s">
        <v>8</v>
      </c>
      <c r="Q2" t="s">
        <v>9</v>
      </c>
      <c r="R2" t="s">
        <v>10</v>
      </c>
      <c r="S2" t="s">
        <v>7</v>
      </c>
      <c r="T2" t="s">
        <v>8</v>
      </c>
      <c r="U2" t="s">
        <v>9</v>
      </c>
      <c r="V2" t="s">
        <v>10</v>
      </c>
      <c r="W2" s="1" t="s">
        <v>0</v>
      </c>
      <c r="X2" s="1" t="s">
        <v>1</v>
      </c>
      <c r="Y2" s="1" t="s">
        <v>2</v>
      </c>
      <c r="Z2" s="1" t="s">
        <v>3</v>
      </c>
    </row>
    <row r="3" spans="1:30" x14ac:dyDescent="0.25">
      <c r="A3">
        <v>2</v>
      </c>
      <c r="B3">
        <v>507</v>
      </c>
      <c r="C3">
        <v>47.59</v>
      </c>
      <c r="D3">
        <v>180.58</v>
      </c>
      <c r="E3">
        <v>49026</v>
      </c>
      <c r="F3">
        <v>254</v>
      </c>
      <c r="G3">
        <v>49.97</v>
      </c>
      <c r="H3">
        <v>186.42</v>
      </c>
      <c r="I3">
        <v>49026</v>
      </c>
      <c r="J3">
        <v>254</v>
      </c>
      <c r="K3">
        <v>52.32</v>
      </c>
      <c r="L3">
        <v>185.07</v>
      </c>
      <c r="M3">
        <v>49026</v>
      </c>
      <c r="N3">
        <v>254</v>
      </c>
      <c r="O3">
        <v>51.53</v>
      </c>
      <c r="P3">
        <v>181.03</v>
      </c>
      <c r="Q3">
        <v>49026</v>
      </c>
      <c r="R3">
        <v>254</v>
      </c>
      <c r="S3">
        <v>58.2</v>
      </c>
      <c r="T3">
        <v>177.4</v>
      </c>
      <c r="U3">
        <v>49026</v>
      </c>
      <c r="V3">
        <v>254</v>
      </c>
      <c r="W3" s="4">
        <f>100*(S3-C3)/S3</f>
        <v>18.230240549828178</v>
      </c>
      <c r="X3" s="4">
        <f>100*(S3-G3)/S3</f>
        <v>14.140893470790385</v>
      </c>
      <c r="Y3" s="4">
        <f>100*(S3-K3)/S3</f>
        <v>10.103092783505158</v>
      </c>
      <c r="Z3" s="4">
        <f>100*(S3-O3)/S3</f>
        <v>11.460481099656361</v>
      </c>
    </row>
    <row r="4" spans="1:30" x14ac:dyDescent="0.25">
      <c r="A4">
        <v>4</v>
      </c>
      <c r="B4">
        <v>507</v>
      </c>
      <c r="C4">
        <v>36.82</v>
      </c>
      <c r="D4">
        <v>51.21</v>
      </c>
      <c r="E4">
        <v>36739</v>
      </c>
      <c r="F4">
        <v>128</v>
      </c>
      <c r="G4">
        <v>37.22</v>
      </c>
      <c r="H4">
        <v>51.09</v>
      </c>
      <c r="I4">
        <v>36739</v>
      </c>
      <c r="J4">
        <v>128</v>
      </c>
      <c r="K4">
        <v>38.56</v>
      </c>
      <c r="L4">
        <v>52.55</v>
      </c>
      <c r="M4">
        <v>36739</v>
      </c>
      <c r="N4">
        <v>128</v>
      </c>
      <c r="O4">
        <v>39.24</v>
      </c>
      <c r="P4">
        <v>51.95</v>
      </c>
      <c r="Q4">
        <v>36739</v>
      </c>
      <c r="R4">
        <v>128</v>
      </c>
      <c r="S4">
        <v>45.4</v>
      </c>
      <c r="T4">
        <v>52.43</v>
      </c>
      <c r="U4">
        <v>36739</v>
      </c>
      <c r="V4">
        <v>128</v>
      </c>
      <c r="W4" s="4">
        <f t="shared" ref="W4:W10" si="0">100*(S4-C4)/S4</f>
        <v>18.898678414096914</v>
      </c>
      <c r="X4" s="4">
        <f t="shared" ref="X4:X10" si="1">100*(S4-G4)/S4</f>
        <v>18.017621145374449</v>
      </c>
      <c r="Y4" s="4">
        <f t="shared" ref="Y4:Y10" si="2">100*(S4-K4)/S4</f>
        <v>15.066079295154179</v>
      </c>
      <c r="Z4" s="4">
        <f t="shared" ref="Z4:Z10" si="3">100*(S4-O4)/S4</f>
        <v>13.568281938325985</v>
      </c>
    </row>
    <row r="5" spans="1:30" x14ac:dyDescent="0.25">
      <c r="A5">
        <v>8</v>
      </c>
      <c r="B5">
        <v>507</v>
      </c>
      <c r="C5">
        <v>23.78</v>
      </c>
      <c r="D5">
        <v>16.329999999999998</v>
      </c>
      <c r="E5">
        <v>25490</v>
      </c>
      <c r="F5">
        <v>65</v>
      </c>
      <c r="G5">
        <v>24.03</v>
      </c>
      <c r="H5">
        <v>16.3</v>
      </c>
      <c r="I5">
        <v>25490</v>
      </c>
      <c r="J5">
        <v>65</v>
      </c>
      <c r="K5">
        <v>25.15</v>
      </c>
      <c r="L5">
        <v>16.25</v>
      </c>
      <c r="M5">
        <v>25490</v>
      </c>
      <c r="N5">
        <v>65</v>
      </c>
      <c r="O5">
        <v>27.01</v>
      </c>
      <c r="P5">
        <v>16.149999999999999</v>
      </c>
      <c r="Q5">
        <v>25490</v>
      </c>
      <c r="R5">
        <v>65</v>
      </c>
      <c r="S5">
        <v>29.85</v>
      </c>
      <c r="T5">
        <v>16.420000000000002</v>
      </c>
      <c r="U5">
        <v>25490</v>
      </c>
      <c r="V5">
        <v>65</v>
      </c>
      <c r="W5" s="4">
        <f t="shared" si="0"/>
        <v>20.33500837520938</v>
      </c>
      <c r="X5" s="4">
        <f t="shared" si="1"/>
        <v>19.497487437185928</v>
      </c>
      <c r="Y5" s="4">
        <f t="shared" si="2"/>
        <v>15.74539363484088</v>
      </c>
      <c r="Z5" s="4">
        <f t="shared" si="3"/>
        <v>9.5142378559463978</v>
      </c>
      <c r="AA5" s="3">
        <f>AVERAGE(W3:W5)</f>
        <v>19.154642446378158</v>
      </c>
      <c r="AB5" s="3">
        <f t="shared" ref="AB5:AD5" si="4">AVERAGE(X3:X5)</f>
        <v>17.21866735111692</v>
      </c>
      <c r="AC5" s="3">
        <f t="shared" si="4"/>
        <v>13.638188571166738</v>
      </c>
      <c r="AD5" s="3">
        <f t="shared" si="4"/>
        <v>11.514333631309581</v>
      </c>
    </row>
    <row r="6" spans="1:30" x14ac:dyDescent="0.25">
      <c r="A6">
        <v>16</v>
      </c>
      <c r="B6">
        <v>507</v>
      </c>
      <c r="C6">
        <v>19.38</v>
      </c>
      <c r="D6">
        <v>6.05</v>
      </c>
      <c r="E6">
        <v>16638</v>
      </c>
      <c r="F6">
        <v>34</v>
      </c>
      <c r="G6">
        <v>19.579999999999998</v>
      </c>
      <c r="H6">
        <v>5.77</v>
      </c>
      <c r="I6">
        <v>16638</v>
      </c>
      <c r="J6">
        <v>34</v>
      </c>
      <c r="K6">
        <v>20.38</v>
      </c>
      <c r="L6">
        <v>5.71</v>
      </c>
      <c r="M6">
        <v>16638</v>
      </c>
      <c r="N6">
        <v>34</v>
      </c>
      <c r="O6">
        <v>21.62</v>
      </c>
      <c r="P6">
        <v>5.72</v>
      </c>
      <c r="Q6">
        <v>16638</v>
      </c>
      <c r="R6">
        <v>34</v>
      </c>
      <c r="S6">
        <v>24.43</v>
      </c>
      <c r="T6">
        <v>5.68</v>
      </c>
      <c r="U6">
        <v>16638</v>
      </c>
      <c r="V6">
        <v>34</v>
      </c>
      <c r="W6" s="4">
        <f t="shared" si="0"/>
        <v>20.671305771592309</v>
      </c>
      <c r="X6" s="4">
        <f t="shared" si="1"/>
        <v>19.852640196479744</v>
      </c>
      <c r="Y6" s="4">
        <f t="shared" si="2"/>
        <v>16.577977896029473</v>
      </c>
      <c r="Z6" s="4">
        <f t="shared" si="3"/>
        <v>11.502251330331555</v>
      </c>
    </row>
    <row r="7" spans="1:30" x14ac:dyDescent="0.25">
      <c r="A7">
        <v>32</v>
      </c>
      <c r="B7">
        <v>507</v>
      </c>
      <c r="C7">
        <v>17.64</v>
      </c>
      <c r="D7">
        <v>2.57</v>
      </c>
      <c r="E7">
        <v>10373</v>
      </c>
      <c r="F7">
        <v>19</v>
      </c>
      <c r="G7">
        <v>17.420000000000002</v>
      </c>
      <c r="H7">
        <v>2.64</v>
      </c>
      <c r="I7">
        <v>10373</v>
      </c>
      <c r="J7">
        <v>19</v>
      </c>
      <c r="K7">
        <v>18.55</v>
      </c>
      <c r="L7">
        <v>2.72</v>
      </c>
      <c r="M7">
        <v>10373</v>
      </c>
      <c r="N7">
        <v>19</v>
      </c>
      <c r="O7">
        <v>21.06</v>
      </c>
      <c r="P7">
        <v>2.66</v>
      </c>
      <c r="Q7">
        <v>10373</v>
      </c>
      <c r="R7">
        <v>19</v>
      </c>
      <c r="S7">
        <v>23.89</v>
      </c>
      <c r="T7">
        <v>2.71</v>
      </c>
      <c r="U7">
        <v>10373</v>
      </c>
      <c r="V7">
        <v>19</v>
      </c>
      <c r="W7" s="4">
        <f t="shared" si="0"/>
        <v>26.161573880284639</v>
      </c>
      <c r="X7" s="4">
        <f t="shared" si="1"/>
        <v>27.082461280870653</v>
      </c>
      <c r="Y7" s="4">
        <f t="shared" si="2"/>
        <v>22.352448723315195</v>
      </c>
      <c r="Z7" s="4">
        <f t="shared" si="3"/>
        <v>11.845960652992892</v>
      </c>
      <c r="AA7" s="3">
        <f>AVERAGE(W6:W7)</f>
        <v>23.416439825938475</v>
      </c>
      <c r="AB7" s="3">
        <f t="shared" ref="AB7:AD7" si="5">AVERAGE(X6:X7)</f>
        <v>23.4675507386752</v>
      </c>
      <c r="AC7" s="3">
        <f t="shared" si="5"/>
        <v>19.465213309672336</v>
      </c>
      <c r="AD7" s="3">
        <f t="shared" si="5"/>
        <v>11.674105991662223</v>
      </c>
    </row>
    <row r="8" spans="1:30" x14ac:dyDescent="0.25">
      <c r="A8">
        <v>64</v>
      </c>
      <c r="B8">
        <v>507</v>
      </c>
      <c r="C8">
        <v>17.13</v>
      </c>
      <c r="D8">
        <v>1.58</v>
      </c>
      <c r="E8">
        <v>6203</v>
      </c>
      <c r="F8">
        <v>12</v>
      </c>
      <c r="G8">
        <v>17.48</v>
      </c>
      <c r="H8">
        <v>1.59</v>
      </c>
      <c r="I8">
        <v>6203</v>
      </c>
      <c r="J8">
        <v>12</v>
      </c>
      <c r="K8">
        <v>18.91</v>
      </c>
      <c r="L8">
        <v>1.61</v>
      </c>
      <c r="M8">
        <v>6203</v>
      </c>
      <c r="N8">
        <v>12</v>
      </c>
      <c r="O8">
        <v>19.14</v>
      </c>
      <c r="P8">
        <v>1.58</v>
      </c>
      <c r="Q8">
        <v>6203</v>
      </c>
      <c r="R8">
        <v>12</v>
      </c>
      <c r="S8">
        <v>21.43</v>
      </c>
      <c r="T8">
        <v>1.6</v>
      </c>
      <c r="U8">
        <v>6203</v>
      </c>
      <c r="V8">
        <v>12</v>
      </c>
      <c r="W8" s="4">
        <f t="shared" si="0"/>
        <v>20.065328978068131</v>
      </c>
      <c r="X8" s="4">
        <f t="shared" si="1"/>
        <v>18.432104526364906</v>
      </c>
      <c r="Y8" s="4">
        <f t="shared" si="2"/>
        <v>11.759216052263181</v>
      </c>
      <c r="Z8" s="4">
        <f t="shared" si="3"/>
        <v>10.685954269715349</v>
      </c>
    </row>
    <row r="9" spans="1:30" x14ac:dyDescent="0.25">
      <c r="A9">
        <v>128</v>
      </c>
      <c r="B9">
        <v>507</v>
      </c>
      <c r="C9">
        <v>15.63</v>
      </c>
      <c r="D9">
        <v>1.1599999999999999</v>
      </c>
      <c r="E9">
        <v>3584</v>
      </c>
      <c r="F9">
        <v>9</v>
      </c>
      <c r="G9">
        <v>15.68</v>
      </c>
      <c r="H9">
        <v>1.17</v>
      </c>
      <c r="I9">
        <v>3584</v>
      </c>
      <c r="J9">
        <v>9</v>
      </c>
      <c r="K9">
        <v>17.36</v>
      </c>
      <c r="L9">
        <v>1.18</v>
      </c>
      <c r="M9">
        <v>3584</v>
      </c>
      <c r="N9">
        <v>9</v>
      </c>
      <c r="O9">
        <v>18.3</v>
      </c>
      <c r="P9">
        <v>1.1399999999999999</v>
      </c>
      <c r="Q9">
        <v>3584</v>
      </c>
      <c r="R9">
        <v>9</v>
      </c>
      <c r="S9">
        <v>20.260000000000002</v>
      </c>
      <c r="T9">
        <v>1.17</v>
      </c>
      <c r="U9">
        <v>3584</v>
      </c>
      <c r="V9">
        <v>9</v>
      </c>
      <c r="W9" s="4">
        <f t="shared" si="0"/>
        <v>22.852912142152025</v>
      </c>
      <c r="X9" s="4">
        <f t="shared" si="1"/>
        <v>22.606120434353411</v>
      </c>
      <c r="Y9" s="4">
        <f t="shared" si="2"/>
        <v>14.313919052319852</v>
      </c>
      <c r="Z9" s="4">
        <f t="shared" si="3"/>
        <v>9.6742349457058285</v>
      </c>
    </row>
    <row r="10" spans="1:30" x14ac:dyDescent="0.25">
      <c r="A10">
        <v>256</v>
      </c>
      <c r="B10">
        <v>507</v>
      </c>
      <c r="C10">
        <v>16.190000000000001</v>
      </c>
      <c r="D10">
        <v>0.98</v>
      </c>
      <c r="E10">
        <v>2071</v>
      </c>
      <c r="F10">
        <v>8</v>
      </c>
      <c r="G10">
        <v>16.350000000000001</v>
      </c>
      <c r="H10">
        <v>0.99</v>
      </c>
      <c r="I10">
        <v>2071</v>
      </c>
      <c r="J10">
        <v>8</v>
      </c>
      <c r="K10">
        <v>17.39</v>
      </c>
      <c r="L10">
        <v>0.99</v>
      </c>
      <c r="M10">
        <v>2071</v>
      </c>
      <c r="N10">
        <v>8</v>
      </c>
      <c r="O10">
        <v>18</v>
      </c>
      <c r="P10">
        <v>0.96</v>
      </c>
      <c r="Q10">
        <v>2071</v>
      </c>
      <c r="R10">
        <v>8</v>
      </c>
      <c r="S10">
        <v>20.97</v>
      </c>
      <c r="T10">
        <v>1.01</v>
      </c>
      <c r="U10">
        <v>2071</v>
      </c>
      <c r="V10">
        <v>8</v>
      </c>
      <c r="W10" s="4">
        <f t="shared" si="0"/>
        <v>22.794468288030512</v>
      </c>
      <c r="X10" s="4">
        <f t="shared" si="1"/>
        <v>22.031473533619447</v>
      </c>
      <c r="Y10" s="4">
        <f t="shared" si="2"/>
        <v>17.072007629947535</v>
      </c>
      <c r="Z10" s="4">
        <f t="shared" si="3"/>
        <v>14.163090128755361</v>
      </c>
      <c r="AA10" s="3">
        <f>AVERAGE(W8:W10)</f>
        <v>21.90423646941689</v>
      </c>
      <c r="AB10" s="3">
        <f t="shared" ref="AB10:AD10" si="6">AVERAGE(X8:X10)</f>
        <v>21.02323283144592</v>
      </c>
      <c r="AC10" s="3">
        <f t="shared" si="6"/>
        <v>14.381714244843522</v>
      </c>
      <c r="AD10" s="3">
        <f t="shared" si="6"/>
        <v>11.507759781392181</v>
      </c>
    </row>
    <row r="11" spans="1:30" x14ac:dyDescent="0.25">
      <c r="W11" s="4">
        <f>AVERAGE(W3:W10)</f>
        <v>21.25118954990776</v>
      </c>
      <c r="X11" s="4">
        <f t="shared" ref="X11:Z11" si="7">AVERAGE(X3:X10)</f>
        <v>20.207600253129865</v>
      </c>
      <c r="Y11" s="4">
        <f t="shared" si="7"/>
        <v>15.373766883421931</v>
      </c>
      <c r="Z11" s="4">
        <f t="shared" si="7"/>
        <v>11.551811527678716</v>
      </c>
    </row>
  </sheetData>
  <mergeCells count="6">
    <mergeCell ref="W1:Z1"/>
    <mergeCell ref="C1:F1"/>
    <mergeCell ref="G1:J1"/>
    <mergeCell ref="K1:N1"/>
    <mergeCell ref="O1:R1"/>
    <mergeCell ref="S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2025-03-25T04:08:34Z</dcterms:created>
  <dcterms:modified xsi:type="dcterms:W3CDTF">2025-03-25T04:23:26Z</dcterms:modified>
</cp:coreProperties>
</file>
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uongtran\RCPTV8\Buddy\AlloTime_log_2025_03_14_507pages\"/>
    </mc:Choice>
  </mc:AlternateContent>
  <xr:revisionPtr revIDLastSave="0" documentId="13_ncr:1_{7C02AA6E-C663-40B8-9309-C9ABE6B76343}" xr6:coauthVersionLast="47" xr6:coauthVersionMax="47" xr10:uidLastSave="{00000000-0000-0000-0000-000000000000}"/>
  <bookViews>
    <workbookView xWindow="6133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1" l="1"/>
  <c r="AB3" i="1"/>
  <c r="AC3" i="1"/>
  <c r="AD3" i="1"/>
  <c r="X4" i="1"/>
  <c r="Y4" i="1"/>
  <c r="Z4" i="1"/>
  <c r="X5" i="1"/>
  <c r="Y5" i="1"/>
  <c r="Z5" i="1"/>
  <c r="X6" i="1"/>
  <c r="AB6" i="1" s="1"/>
  <c r="Y6" i="1"/>
  <c r="AC6" i="1" s="1"/>
  <c r="Z6" i="1"/>
  <c r="AD6" i="1" s="1"/>
  <c r="X7" i="1"/>
  <c r="Y7" i="1"/>
  <c r="Z7" i="1"/>
  <c r="X8" i="1"/>
  <c r="AB8" i="1" s="1"/>
  <c r="Y8" i="1"/>
  <c r="AC8" i="1" s="1"/>
  <c r="Z8" i="1"/>
  <c r="AD8" i="1" s="1"/>
  <c r="X9" i="1"/>
  <c r="Y9" i="1"/>
  <c r="Z9" i="1"/>
  <c r="X10" i="1"/>
  <c r="Y10" i="1"/>
  <c r="Z10" i="1"/>
  <c r="Z3" i="1"/>
  <c r="Y3" i="1"/>
  <c r="X3" i="1"/>
  <c r="W4" i="1"/>
  <c r="W5" i="1"/>
  <c r="W6" i="1"/>
  <c r="W7" i="1"/>
  <c r="W8" i="1"/>
  <c r="AA8" i="1" s="1"/>
  <c r="W9" i="1"/>
  <c r="W10" i="1"/>
  <c r="W3" i="1"/>
  <c r="AA3" i="1" s="1"/>
</calcChain>
</file>

<file path=xl/sharedStrings.xml><?xml version="1.0" encoding="utf-8"?>
<sst xmlns="http://schemas.openxmlformats.org/spreadsheetml/2006/main" count="32" uniqueCount="12">
  <si>
    <t>TRAD</t>
  </si>
  <si>
    <t>NAPOT</t>
  </si>
  <si>
    <t>CAMB</t>
  </si>
  <si>
    <t>RCPT</t>
  </si>
  <si>
    <t>cRCPT</t>
  </si>
  <si>
    <t>BlockSize</t>
  </si>
  <si>
    <t>ReqSize</t>
  </si>
  <si>
    <t>AlloTime</t>
  </si>
  <si>
    <t>DealloTime</t>
  </si>
  <si>
    <t>FreeNodes</t>
  </si>
  <si>
    <t>AlloNodes</t>
  </si>
  <si>
    <t>Compare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</si>
</sst>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TRAD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Sheet1!$C$3:$C$10</c:f>
              <c:numCache>
                <c:formatCode>General</c:formatCode>
                <c:ptCount val="8"/>
                <c:pt idx="0">
                  <c:v>53.21</c:v>
                </c:pt>
                <c:pt idx="1">
                  <c:v>38.85</c:v>
                </c:pt>
                <c:pt idx="2">
                  <c:v>29.12</c:v>
                </c:pt>
                <c:pt idx="3">
                  <c:v>21.4</c:v>
                </c:pt>
                <c:pt idx="4">
                  <c:v>18</c:v>
                </c:pt>
                <c:pt idx="5">
                  <c:v>16.48</c:v>
                </c:pt>
                <c:pt idx="6">
                  <c:v>15.97</c:v>
                </c:pt>
                <c:pt idx="7">
                  <c:v>16.260000000000002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C-4503-9CED-2F607F7BDF21}"/>
            </c:ext>
          </c:extLst>
        </c:ser>
        <c:ser>
          <c:idx val="1"/>
          <c:order val="1"/>
          <c:tx>
            <c:v>NAPOT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Sheet1!$G$3:$G$10</c:f>
              <c:numCache>
                <c:formatCode>General</c:formatCode>
                <c:ptCount val="8"/>
                <c:pt idx="0">
                  <c:v>54.12</c:v>
                </c:pt>
                <c:pt idx="1">
                  <c:v>38.979999999999997</c:v>
                </c:pt>
                <c:pt idx="2">
                  <c:v>29.45</c:v>
                </c:pt>
                <c:pt idx="3">
                  <c:v>21.13</c:v>
                </c:pt>
                <c:pt idx="4">
                  <c:v>20.309999999999999</c:v>
                </c:pt>
                <c:pt idx="5">
                  <c:v>17.260000000000002</c:v>
                </c:pt>
                <c:pt idx="6">
                  <c:v>17.07</c:v>
                </c:pt>
                <c:pt idx="7">
                  <c:v>16.420000000000002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AC-4503-9CED-2F607F7BDF21}"/>
            </c:ext>
          </c:extLst>
        </c:ser>
        <c:ser>
          <c:idx val="2"/>
          <c:order val="2"/>
          <c:tx>
            <c:v>CAMB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Sheet1!$K$3:$K$10</c:f>
              <c:numCache>
                <c:formatCode>General</c:formatCode>
                <c:ptCount val="8"/>
                <c:pt idx="0">
                  <c:v>54.03</c:v>
                </c:pt>
                <c:pt idx="1">
                  <c:v>39.450000000000003</c:v>
                </c:pt>
                <c:pt idx="2">
                  <c:v>30.21</c:v>
                </c:pt>
                <c:pt idx="3">
                  <c:v>22.52</c:v>
                </c:pt>
                <c:pt idx="4">
                  <c:v>18.98</c:v>
                </c:pt>
                <c:pt idx="5">
                  <c:v>18.16</c:v>
                </c:pt>
                <c:pt idx="6">
                  <c:v>17.29</c:v>
                </c:pt>
                <c:pt idx="7">
                  <c:v>17.309999999999999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AC-4503-9CED-2F607F7BDF21}"/>
            </c:ext>
          </c:extLst>
        </c:ser>
        <c:ser>
          <c:idx val="3"/>
          <c:order val="3"/>
          <c:tx>
            <c:v>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Sheet1!$O$3:$O$10</c:f>
              <c:numCache>
                <c:formatCode>General</c:formatCode>
                <c:ptCount val="8"/>
                <c:pt idx="0">
                  <c:v>57.24</c:v>
                </c:pt>
                <c:pt idx="1">
                  <c:v>40.54</c:v>
                </c:pt>
                <c:pt idx="2">
                  <c:v>30.8</c:v>
                </c:pt>
                <c:pt idx="3">
                  <c:v>24.47</c:v>
                </c:pt>
                <c:pt idx="4">
                  <c:v>20.54</c:v>
                </c:pt>
                <c:pt idx="5">
                  <c:v>18.7</c:v>
                </c:pt>
                <c:pt idx="6">
                  <c:v>17.809999999999999</c:v>
                </c:pt>
                <c:pt idx="7">
                  <c:v>18.13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AC-4503-9CED-2F607F7BDF21}"/>
            </c:ext>
          </c:extLst>
        </c:ser>
        <c:ser>
          <c:idx val="4"/>
          <c:order val="4"/>
          <c:tx>
            <c:v>cRCPT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Sheet1!$S$3:$S$10</c:f>
              <c:numCache>
                <c:formatCode>General</c:formatCode>
                <c:ptCount val="8"/>
                <c:pt idx="0">
                  <c:v>62.63</c:v>
                </c:pt>
                <c:pt idx="1">
                  <c:v>43.43</c:v>
                </c:pt>
                <c:pt idx="2">
                  <c:v>32.39</c:v>
                </c:pt>
                <c:pt idx="3">
                  <c:v>25.26</c:v>
                </c:pt>
                <c:pt idx="4">
                  <c:v>23.14</c:v>
                </c:pt>
                <c:pt idx="5">
                  <c:v>22.06</c:v>
                </c:pt>
                <c:pt idx="6">
                  <c:v>22</c:v>
                </c:pt>
                <c:pt idx="7">
                  <c:v>21.29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AC-4503-9CED-2F607F7BD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Block size (pages)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Allocation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2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304800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"/>
  <sheetViews>
    <sheetView tabSelected="1" topLeftCell="C1" workbookViewId="0">
      <selection activeCell="P16" sqref="P16"/>
    </sheetView>
  </sheetViews>
  <sheetFormatPr defaultRowHeight="17.399999999999999"/>
  <sheetData>
    <row r="1" spans="1:30">
      <c r="C1" s="3" t="s">
        <v>0</v>
      </c>
      <c r="D1" s="3"/>
      <c r="E1" s="3"/>
      <c r="F1" s="3"/>
      <c r="G1" s="3" t="s">
        <v>1</v>
      </c>
      <c r="H1" s="3"/>
      <c r="I1" s="3"/>
      <c r="J1" s="3"/>
      <c r="K1" s="3" t="s">
        <v>2</v>
      </c>
      <c r="L1" s="3"/>
      <c r="M1" s="3"/>
      <c r="N1" s="3"/>
      <c r="O1" s="3" t="s">
        <v>3</v>
      </c>
      <c r="P1" s="3"/>
      <c r="Q1" s="3"/>
      <c r="R1" s="3"/>
      <c r="S1" s="3" t="s">
        <v>4</v>
      </c>
      <c r="T1" s="3"/>
      <c r="U1" s="3"/>
      <c r="V1" s="3"/>
      <c r="W1" s="3" t="s">
        <v>11</v>
      </c>
      <c r="X1" s="3"/>
      <c r="Y1" s="3"/>
      <c r="Z1" s="3"/>
    </row>
    <row r="2" spans="1:30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7</v>
      </c>
      <c r="H2" t="s">
        <v>8</v>
      </c>
      <c r="I2" t="s">
        <v>9</v>
      </c>
      <c r="J2" t="s">
        <v>10</v>
      </c>
      <c r="K2" t="s">
        <v>7</v>
      </c>
      <c r="L2" t="s">
        <v>8</v>
      </c>
      <c r="M2" t="s">
        <v>9</v>
      </c>
      <c r="N2" t="s">
        <v>10</v>
      </c>
      <c r="O2" t="s">
        <v>7</v>
      </c>
      <c r="P2" t="s">
        <v>8</v>
      </c>
      <c r="Q2" t="s">
        <v>9</v>
      </c>
      <c r="R2" t="s">
        <v>10</v>
      </c>
      <c r="S2" t="s">
        <v>7</v>
      </c>
      <c r="T2" t="s">
        <v>8</v>
      </c>
      <c r="U2" t="s">
        <v>9</v>
      </c>
      <c r="V2" t="s">
        <v>10</v>
      </c>
      <c r="W2" t="s">
        <v>0</v>
      </c>
      <c r="X2" t="s">
        <v>1</v>
      </c>
      <c r="Y2" t="s">
        <v>2</v>
      </c>
      <c r="Z2" t="s">
        <v>3</v>
      </c>
    </row>
    <row r="3" spans="1:30">
      <c r="A3">
        <v>2</v>
      </c>
      <c r="B3">
        <v>507</v>
      </c>
      <c r="C3">
        <v>53.21</v>
      </c>
      <c r="D3">
        <v>186.18</v>
      </c>
      <c r="E3">
        <v>49026</v>
      </c>
      <c r="F3">
        <v>254</v>
      </c>
      <c r="G3">
        <v>54.12</v>
      </c>
      <c r="H3">
        <v>185.69</v>
      </c>
      <c r="I3">
        <v>49026</v>
      </c>
      <c r="J3">
        <v>254</v>
      </c>
      <c r="K3">
        <v>54.03</v>
      </c>
      <c r="L3">
        <v>186.37</v>
      </c>
      <c r="M3">
        <v>49026</v>
      </c>
      <c r="N3">
        <v>254</v>
      </c>
      <c r="O3">
        <v>57.24</v>
      </c>
      <c r="P3">
        <v>186.48</v>
      </c>
      <c r="Q3">
        <v>49026</v>
      </c>
      <c r="R3">
        <v>254</v>
      </c>
      <c r="S3">
        <v>62.63</v>
      </c>
      <c r="T3">
        <v>180.96</v>
      </c>
      <c r="U3">
        <v>49026</v>
      </c>
      <c r="V3">
        <v>254</v>
      </c>
      <c r="W3" s="2">
        <f>100*(S3-C3)/S3</f>
        <v>15.040715312150729</v>
      </c>
      <c r="X3" s="2">
        <f>100*(S3-G3)/S3</f>
        <v>13.587737505987553</v>
      </c>
      <c r="Y3" s="2">
        <f>100*(S3-K3)/S3</f>
        <v>13.731438607695994</v>
      </c>
      <c r="Z3" s="2">
        <f>100*(S3-O3)/S3</f>
        <v>8.6060993134280697</v>
      </c>
      <c r="AA3" s="1">
        <f>AVERAGE(W3:W5)</f>
        <v>11.894043199178995</v>
      </c>
      <c r="AB3" s="1">
        <f t="shared" ref="AB3:AD3" si="0">AVERAGE(X3:X5)</f>
        <v>10.970328853142229</v>
      </c>
      <c r="AC3" s="1">
        <f t="shared" si="0"/>
        <v>9.8753610689624711</v>
      </c>
      <c r="AD3" s="1">
        <f t="shared" si="0"/>
        <v>6.7231360630813688</v>
      </c>
    </row>
    <row r="4" spans="1:30">
      <c r="A4">
        <v>4</v>
      </c>
      <c r="B4">
        <v>507</v>
      </c>
      <c r="C4">
        <v>38.85</v>
      </c>
      <c r="D4">
        <v>52.11</v>
      </c>
      <c r="E4">
        <v>36739</v>
      </c>
      <c r="F4">
        <v>128</v>
      </c>
      <c r="G4">
        <v>38.979999999999997</v>
      </c>
      <c r="H4">
        <v>52.65</v>
      </c>
      <c r="I4">
        <v>36739</v>
      </c>
      <c r="J4">
        <v>128</v>
      </c>
      <c r="K4">
        <v>39.450000000000003</v>
      </c>
      <c r="L4">
        <v>53.83</v>
      </c>
      <c r="M4">
        <v>36739</v>
      </c>
      <c r="N4">
        <v>128</v>
      </c>
      <c r="O4">
        <v>40.54</v>
      </c>
      <c r="P4">
        <v>52.35</v>
      </c>
      <c r="Q4">
        <v>36739</v>
      </c>
      <c r="R4">
        <v>128</v>
      </c>
      <c r="S4">
        <v>43.43</v>
      </c>
      <c r="T4">
        <v>53.32</v>
      </c>
      <c r="U4">
        <v>36739</v>
      </c>
      <c r="V4">
        <v>128</v>
      </c>
      <c r="W4" s="2">
        <f t="shared" ref="W4:W10" si="1">100*(S4-C4)/S4</f>
        <v>10.545705733364031</v>
      </c>
      <c r="X4" s="2">
        <f t="shared" ref="X4:X10" si="2">100*(S4-G4)/S4</f>
        <v>10.246373474556764</v>
      </c>
      <c r="Y4" s="2">
        <f t="shared" ref="Y4:Y10" si="3">100*(S4-K4)/S4</f>
        <v>9.1641722311765985</v>
      </c>
      <c r="Z4" s="2">
        <f t="shared" ref="Z4:Z10" si="4">100*(S4-O4)/S4</f>
        <v>6.6543863688694467</v>
      </c>
    </row>
    <row r="5" spans="1:30">
      <c r="A5">
        <v>8</v>
      </c>
      <c r="B5">
        <v>507</v>
      </c>
      <c r="C5">
        <v>29.12</v>
      </c>
      <c r="D5">
        <v>16.52</v>
      </c>
      <c r="E5">
        <v>25490</v>
      </c>
      <c r="F5">
        <v>65</v>
      </c>
      <c r="G5">
        <v>29.45</v>
      </c>
      <c r="H5">
        <v>16.87</v>
      </c>
      <c r="I5">
        <v>25490</v>
      </c>
      <c r="J5">
        <v>65</v>
      </c>
      <c r="K5">
        <v>30.21</v>
      </c>
      <c r="L5">
        <v>16.54</v>
      </c>
      <c r="M5">
        <v>25490</v>
      </c>
      <c r="N5">
        <v>65</v>
      </c>
      <c r="O5">
        <v>30.8</v>
      </c>
      <c r="P5">
        <v>16.68</v>
      </c>
      <c r="Q5">
        <v>25490</v>
      </c>
      <c r="R5">
        <v>65</v>
      </c>
      <c r="S5">
        <v>32.39</v>
      </c>
      <c r="T5">
        <v>17.149999999999999</v>
      </c>
      <c r="U5">
        <v>25490</v>
      </c>
      <c r="V5">
        <v>65</v>
      </c>
      <c r="W5" s="2">
        <f t="shared" si="1"/>
        <v>10.095708552022227</v>
      </c>
      <c r="X5" s="2">
        <f t="shared" si="2"/>
        <v>9.0768755788823743</v>
      </c>
      <c r="Y5" s="2">
        <f t="shared" si="3"/>
        <v>6.7304723680148184</v>
      </c>
      <c r="Z5" s="2">
        <f t="shared" si="4"/>
        <v>4.9089225069465883</v>
      </c>
    </row>
    <row r="6" spans="1:30">
      <c r="A6">
        <v>16</v>
      </c>
      <c r="B6">
        <v>507</v>
      </c>
      <c r="C6">
        <v>21.4</v>
      </c>
      <c r="D6">
        <v>5.85</v>
      </c>
      <c r="E6">
        <v>16638</v>
      </c>
      <c r="F6">
        <v>34</v>
      </c>
      <c r="G6">
        <v>21.13</v>
      </c>
      <c r="H6">
        <v>5.89</v>
      </c>
      <c r="I6">
        <v>16638</v>
      </c>
      <c r="J6">
        <v>34</v>
      </c>
      <c r="K6">
        <v>22.52</v>
      </c>
      <c r="L6">
        <v>5.75</v>
      </c>
      <c r="M6">
        <v>16638</v>
      </c>
      <c r="N6">
        <v>34</v>
      </c>
      <c r="O6">
        <v>24.47</v>
      </c>
      <c r="P6">
        <v>5.74</v>
      </c>
      <c r="Q6">
        <v>16638</v>
      </c>
      <c r="R6">
        <v>34</v>
      </c>
      <c r="S6">
        <v>25.26</v>
      </c>
      <c r="T6">
        <v>6.18</v>
      </c>
      <c r="U6">
        <v>16638</v>
      </c>
      <c r="V6">
        <v>34</v>
      </c>
      <c r="W6" s="2">
        <f t="shared" si="1"/>
        <v>15.281076801266835</v>
      </c>
      <c r="X6" s="2">
        <f t="shared" si="2"/>
        <v>16.34996041171814</v>
      </c>
      <c r="Y6" s="2">
        <f t="shared" si="3"/>
        <v>10.84718923198734</v>
      </c>
      <c r="Z6" s="2">
        <f t="shared" si="4"/>
        <v>3.1274742676167961</v>
      </c>
      <c r="AA6" s="1">
        <f>AVERAGE(W6:W7)</f>
        <v>18.746847821549579</v>
      </c>
      <c r="AB6" s="1">
        <f t="shared" ref="AB6:AD6" si="5">AVERAGE(X6:X7)</f>
        <v>14.289932669126143</v>
      </c>
      <c r="AC6" s="1">
        <f t="shared" si="5"/>
        <v>14.412358660937491</v>
      </c>
      <c r="AD6" s="1">
        <f t="shared" si="5"/>
        <v>7.1817146618982877</v>
      </c>
    </row>
    <row r="7" spans="1:30">
      <c r="A7">
        <v>32</v>
      </c>
      <c r="B7">
        <v>507</v>
      </c>
      <c r="C7">
        <v>18</v>
      </c>
      <c r="D7">
        <v>2.77</v>
      </c>
      <c r="E7">
        <v>10373</v>
      </c>
      <c r="F7">
        <v>19</v>
      </c>
      <c r="G7">
        <v>20.309999999999999</v>
      </c>
      <c r="H7">
        <v>2.78</v>
      </c>
      <c r="I7">
        <v>10373</v>
      </c>
      <c r="J7">
        <v>19</v>
      </c>
      <c r="K7">
        <v>18.98</v>
      </c>
      <c r="L7">
        <v>2.71</v>
      </c>
      <c r="M7">
        <v>10373</v>
      </c>
      <c r="N7">
        <v>19</v>
      </c>
      <c r="O7">
        <v>20.54</v>
      </c>
      <c r="P7">
        <v>2.77</v>
      </c>
      <c r="Q7">
        <v>10373</v>
      </c>
      <c r="R7">
        <v>19</v>
      </c>
      <c r="S7">
        <v>23.14</v>
      </c>
      <c r="T7">
        <v>2.91</v>
      </c>
      <c r="U7">
        <v>10373</v>
      </c>
      <c r="V7">
        <v>19</v>
      </c>
      <c r="W7" s="2">
        <f t="shared" si="1"/>
        <v>22.212618841832324</v>
      </c>
      <c r="X7" s="2">
        <f t="shared" si="2"/>
        <v>12.229904926534147</v>
      </c>
      <c r="Y7" s="2">
        <f t="shared" si="3"/>
        <v>17.977528089887642</v>
      </c>
      <c r="Z7" s="2">
        <f t="shared" si="4"/>
        <v>11.23595505617978</v>
      </c>
    </row>
    <row r="8" spans="1:30">
      <c r="A8">
        <v>64</v>
      </c>
      <c r="B8">
        <v>507</v>
      </c>
      <c r="C8">
        <v>16.48</v>
      </c>
      <c r="D8">
        <v>1.57</v>
      </c>
      <c r="E8">
        <v>6203</v>
      </c>
      <c r="F8">
        <v>12</v>
      </c>
      <c r="G8">
        <v>17.260000000000002</v>
      </c>
      <c r="H8">
        <v>1.63</v>
      </c>
      <c r="I8">
        <v>6203</v>
      </c>
      <c r="J8">
        <v>12</v>
      </c>
      <c r="K8">
        <v>18.16</v>
      </c>
      <c r="L8">
        <v>1.63</v>
      </c>
      <c r="M8">
        <v>6203</v>
      </c>
      <c r="N8">
        <v>12</v>
      </c>
      <c r="O8">
        <v>18.7</v>
      </c>
      <c r="P8">
        <v>1.58</v>
      </c>
      <c r="Q8">
        <v>6203</v>
      </c>
      <c r="R8">
        <v>12</v>
      </c>
      <c r="S8">
        <v>22.06</v>
      </c>
      <c r="T8">
        <v>2.89</v>
      </c>
      <c r="U8">
        <v>6203</v>
      </c>
      <c r="V8">
        <v>15</v>
      </c>
      <c r="W8" s="2">
        <f t="shared" si="1"/>
        <v>25.294650951949219</v>
      </c>
      <c r="X8" s="2">
        <f t="shared" si="2"/>
        <v>21.758839528558465</v>
      </c>
      <c r="Y8" s="2">
        <f t="shared" si="3"/>
        <v>17.679057116953757</v>
      </c>
      <c r="Z8" s="2">
        <f t="shared" si="4"/>
        <v>15.231187669990932</v>
      </c>
      <c r="AA8" s="1">
        <f>AVERAGE(W8:W10)</f>
        <v>25.443285802748459</v>
      </c>
      <c r="AB8" s="1">
        <f t="shared" ref="AB8:AD8" si="6">AVERAGE(X8:X10)</f>
        <v>22.34750648219125</v>
      </c>
      <c r="AC8" s="1">
        <f t="shared" si="6"/>
        <v>19.260790221927213</v>
      </c>
      <c r="AD8" s="1">
        <f t="shared" si="6"/>
        <v>16.373097115497643</v>
      </c>
    </row>
    <row r="9" spans="1:30">
      <c r="A9">
        <v>128</v>
      </c>
      <c r="B9">
        <v>507</v>
      </c>
      <c r="C9">
        <v>15.97</v>
      </c>
      <c r="D9">
        <v>1.1499999999999999</v>
      </c>
      <c r="E9">
        <v>3584</v>
      </c>
      <c r="F9">
        <v>9</v>
      </c>
      <c r="G9">
        <v>17.07</v>
      </c>
      <c r="H9">
        <v>1.33</v>
      </c>
      <c r="I9">
        <v>3584</v>
      </c>
      <c r="J9">
        <v>9</v>
      </c>
      <c r="K9">
        <v>17.29</v>
      </c>
      <c r="L9">
        <v>1.2</v>
      </c>
      <c r="M9">
        <v>3584</v>
      </c>
      <c r="N9">
        <v>9</v>
      </c>
      <c r="O9">
        <v>17.809999999999999</v>
      </c>
      <c r="P9">
        <v>1.1399999999999999</v>
      </c>
      <c r="Q9">
        <v>3584</v>
      </c>
      <c r="R9">
        <v>9</v>
      </c>
      <c r="S9">
        <v>22</v>
      </c>
      <c r="T9">
        <v>1.77</v>
      </c>
      <c r="U9">
        <v>3584</v>
      </c>
      <c r="V9">
        <v>11</v>
      </c>
      <c r="W9" s="2">
        <f t="shared" si="1"/>
        <v>27.409090909090903</v>
      </c>
      <c r="X9" s="2">
        <f t="shared" si="2"/>
        <v>22.40909090909091</v>
      </c>
      <c r="Y9" s="2">
        <f t="shared" si="3"/>
        <v>21.409090909090914</v>
      </c>
      <c r="Z9" s="2">
        <f t="shared" si="4"/>
        <v>19.04545454545455</v>
      </c>
    </row>
    <row r="10" spans="1:30">
      <c r="A10">
        <v>256</v>
      </c>
      <c r="B10">
        <v>507</v>
      </c>
      <c r="C10">
        <v>16.260000000000002</v>
      </c>
      <c r="D10">
        <v>1.01</v>
      </c>
      <c r="E10">
        <v>2071</v>
      </c>
      <c r="F10">
        <v>8</v>
      </c>
      <c r="G10">
        <v>16.420000000000002</v>
      </c>
      <c r="H10">
        <v>0.98</v>
      </c>
      <c r="I10">
        <v>2071</v>
      </c>
      <c r="J10">
        <v>8</v>
      </c>
      <c r="K10">
        <v>17.309999999999999</v>
      </c>
      <c r="L10">
        <v>1.01</v>
      </c>
      <c r="M10">
        <v>2071</v>
      </c>
      <c r="N10">
        <v>8</v>
      </c>
      <c r="O10">
        <v>18.13</v>
      </c>
      <c r="P10">
        <v>1</v>
      </c>
      <c r="Q10">
        <v>2071</v>
      </c>
      <c r="R10">
        <v>8</v>
      </c>
      <c r="S10">
        <v>21.29</v>
      </c>
      <c r="T10">
        <v>1.46</v>
      </c>
      <c r="U10">
        <v>2071</v>
      </c>
      <c r="V10">
        <v>9</v>
      </c>
      <c r="W10" s="2">
        <f t="shared" si="1"/>
        <v>23.626115547205252</v>
      </c>
      <c r="X10" s="2">
        <f t="shared" si="2"/>
        <v>22.874589008924367</v>
      </c>
      <c r="Y10" s="2">
        <f t="shared" si="3"/>
        <v>18.694222639736971</v>
      </c>
      <c r="Z10" s="2">
        <f t="shared" si="4"/>
        <v>14.842649131047441</v>
      </c>
    </row>
  </sheetData>
  <mergeCells count="6">
    <mergeCell ref="W1:Z1"/>
    <mergeCell ref="C1:F1"/>
    <mergeCell ref="G1:J1"/>
    <mergeCell ref="K1:N1"/>
    <mergeCell ref="O1:R1"/>
    <mergeCell ref="S1:V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Trần Đại Dương</cp:lastModifiedBy>
  <dcterms:created xsi:type="dcterms:W3CDTF">2025-03-14T07:28:26Z</dcterms:created>
  <dcterms:modified xsi:type="dcterms:W3CDTF">2025-03-14T14:16:51Z</dcterms:modified>
</cp:coreProperties>
</file>
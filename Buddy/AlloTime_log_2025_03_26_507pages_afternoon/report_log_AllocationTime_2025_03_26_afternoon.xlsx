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425\TranDaiDuong\RCPTV8\Buddy\"/>
    </mc:Choice>
  </mc:AlternateContent>
  <xr:revisionPtr revIDLastSave="0" documentId="13_ncr:1_{4B1371F6-61A3-42F7-A879-F45A7EE9735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B10" i="1" l="1"/>
  <c r="AC10" i="1"/>
  <c r="AD10" i="1"/>
  <c r="AA10" i="1"/>
  <c r="AB7" i="1"/>
  <c r="AC7" i="1"/>
  <c r="AD7" i="1"/>
  <c r="AA7" i="1"/>
  <c r="AB5" i="1"/>
  <c r="AC5" i="1"/>
  <c r="AD5" i="1"/>
  <c r="AA5" i="1"/>
  <c r="X11" i="1"/>
  <c r="Y11" i="1"/>
  <c r="Z11" i="1"/>
  <c r="W11" i="1"/>
  <c r="Z4" i="1"/>
  <c r="Z5" i="1"/>
  <c r="Z6" i="1"/>
  <c r="Z7" i="1"/>
  <c r="Z8" i="1"/>
  <c r="Z9" i="1"/>
  <c r="Z10" i="1"/>
  <c r="Z3" i="1"/>
  <c r="Y4" i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<sst xmlns="http://schemas.openxmlformats.org/spreadsheetml/2006/main" count="32" uniqueCount="12">
  <si>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</si>
  <si>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</si>
  <si>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</si>
  <si>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</si>
  <si>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</si>
  <si>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</si>
  <si>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</si>
  <si>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</si>
  <si>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</si>
  <si>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</si>
  <si>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</si>
  <si>
    <t>Comparation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</si>
</sst>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49.06</c:v>
                </c:pt>
                <c:pt idx="1">
                  <c:v>38.15</c:v>
                </c:pt>
                <c:pt idx="2">
                  <c:v>24.58</c:v>
                </c:pt>
                <c:pt idx="3">
                  <c:v>19.86</c:v>
                </c:pt>
                <c:pt idx="4">
                  <c:v>18.04</c:v>
                </c:pt>
                <c:pt idx="5">
                  <c:v>16.809999999999999</c:v>
                </c:pt>
                <c:pt idx="6">
                  <c:v>16.21</c:v>
                </c:pt>
                <c:pt idx="7">
                  <c:v>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F-439A-B533-A902A4AEED4F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48.42</c:v>
                </c:pt>
                <c:pt idx="1">
                  <c:v>38.18</c:v>
                </c:pt>
                <c:pt idx="2">
                  <c:v>25.12</c:v>
                </c:pt>
                <c:pt idx="3">
                  <c:v>18.920000000000002</c:v>
                </c:pt>
                <c:pt idx="4">
                  <c:v>18.559999999999999</c:v>
                </c:pt>
                <c:pt idx="5">
                  <c:v>16.5</c:v>
                </c:pt>
                <c:pt idx="6">
                  <c:v>16.149999999999999</c:v>
                </c:pt>
                <c:pt idx="7">
                  <c:v>16.059999999999999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F-439A-B533-A902A4AEED4F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51.66</c:v>
                </c:pt>
                <c:pt idx="1">
                  <c:v>39.26</c:v>
                </c:pt>
                <c:pt idx="2">
                  <c:v>25.66</c:v>
                </c:pt>
                <c:pt idx="3">
                  <c:v>20.46</c:v>
                </c:pt>
                <c:pt idx="4">
                  <c:v>25.39</c:v>
                </c:pt>
                <c:pt idx="5">
                  <c:v>20.64</c:v>
                </c:pt>
                <c:pt idx="6">
                  <c:v>16.809999999999999</c:v>
                </c:pt>
                <c:pt idx="7">
                  <c:v>17.72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FF-439A-B533-A902A4AEED4F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51.69</c:v>
                </c:pt>
                <c:pt idx="1">
                  <c:v>41.05</c:v>
                </c:pt>
                <c:pt idx="2">
                  <c:v>26.99</c:v>
                </c:pt>
                <c:pt idx="3">
                  <c:v>21.61</c:v>
                </c:pt>
                <c:pt idx="4">
                  <c:v>21.11</c:v>
                </c:pt>
                <c:pt idx="5">
                  <c:v>19.25</c:v>
                </c:pt>
                <c:pt idx="6">
                  <c:v>17.62</c:v>
                </c:pt>
                <c:pt idx="7">
                  <c:v>18.91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FF-439A-B533-A902A4AEED4F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59.87</c:v>
                </c:pt>
                <c:pt idx="1">
                  <c:v>43.19</c:v>
                </c:pt>
                <c:pt idx="2">
                  <c:v>30.4</c:v>
                </c:pt>
                <c:pt idx="3">
                  <c:v>24.9</c:v>
                </c:pt>
                <c:pt idx="4">
                  <c:v>23.67</c:v>
                </c:pt>
                <c:pt idx="5">
                  <c:v>21.57</c:v>
                </c:pt>
                <c:pt idx="6">
                  <c:v>20.91</c:v>
                </c:pt>
                <c:pt idx="7">
                  <c:v>21.12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FF-439A-B533-A902A4AE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zoomScale="85" zoomScaleNormal="85" workbookViewId="0">
      <selection activeCell="AC14" sqref="AC14"/>
    </sheetView>
  </sheetViews>
  <sheetFormatPr defaultRowHeight="15" x14ac:dyDescent="0.25"/>
  <sheetData>
    <row r="1" spans="1:30" x14ac:dyDescent="0.25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  <c r="W1" s="1" t="s">
        <v>11</v>
      </c>
      <c r="X1" s="1"/>
      <c r="Y1" s="1"/>
      <c r="Z1" s="1"/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  <c r="W2" t="s">
        <v>0</v>
      </c>
      <c r="X2" t="s">
        <v>1</v>
      </c>
      <c r="Y2" t="s">
        <v>2</v>
      </c>
      <c r="Z2" t="s">
        <v>3</v>
      </c>
    </row>
    <row r="3" spans="1:30" x14ac:dyDescent="0.25">
      <c r="A3">
        <v>2</v>
      </c>
      <c r="B3">
        <v>507</v>
      </c>
      <c r="C3">
        <v>49.06</v>
      </c>
      <c r="D3">
        <v>185.14</v>
      </c>
      <c r="E3">
        <v>49026</v>
      </c>
      <c r="F3">
        <v>254</v>
      </c>
      <c r="G3">
        <v>48.42</v>
      </c>
      <c r="H3">
        <v>186.53</v>
      </c>
      <c r="I3">
        <v>49026</v>
      </c>
      <c r="J3">
        <v>254</v>
      </c>
      <c r="K3">
        <v>51.66</v>
      </c>
      <c r="L3">
        <v>182.57</v>
      </c>
      <c r="M3">
        <v>49026</v>
      </c>
      <c r="N3">
        <v>254</v>
      </c>
      <c r="O3">
        <v>51.69</v>
      </c>
      <c r="P3">
        <v>181.59</v>
      </c>
      <c r="Q3">
        <v>49026</v>
      </c>
      <c r="R3">
        <v>254</v>
      </c>
      <c r="S3">
        <v>59.87</v>
      </c>
      <c r="T3">
        <v>179.36</v>
      </c>
      <c r="U3">
        <v>49026</v>
      </c>
      <c r="V3">
        <v>254</v>
      </c>
      <c r="W3" s="2">
        <f>100*(S3-C3)/S3</f>
        <v>18.055787539669275</v>
      </c>
      <c r="X3" s="2">
        <f>100*(S3-G3)/S3</f>
        <v>19.124770335727401</v>
      </c>
      <c r="Y3" s="2">
        <f>100*(S3-K3)/S3</f>
        <v>13.71304493068315</v>
      </c>
      <c r="Z3" s="2">
        <f>100*(S3-O3)/S3</f>
        <v>13.662936362117923</v>
      </c>
    </row>
    <row r="4" spans="1:30" x14ac:dyDescent="0.25">
      <c r="A4">
        <v>4</v>
      </c>
      <c r="B4">
        <v>507</v>
      </c>
      <c r="C4">
        <v>38.15</v>
      </c>
      <c r="D4">
        <v>51.22</v>
      </c>
      <c r="E4">
        <v>36739</v>
      </c>
      <c r="F4">
        <v>128</v>
      </c>
      <c r="G4">
        <v>38.18</v>
      </c>
      <c r="H4">
        <v>51.57</v>
      </c>
      <c r="I4">
        <v>36739</v>
      </c>
      <c r="J4">
        <v>128</v>
      </c>
      <c r="K4">
        <v>39.26</v>
      </c>
      <c r="L4">
        <v>51.97</v>
      </c>
      <c r="M4">
        <v>36739</v>
      </c>
      <c r="N4">
        <v>128</v>
      </c>
      <c r="O4">
        <v>41.05</v>
      </c>
      <c r="P4">
        <v>51.88</v>
      </c>
      <c r="Q4">
        <v>36739</v>
      </c>
      <c r="R4">
        <v>128</v>
      </c>
      <c r="S4">
        <v>43.19</v>
      </c>
      <c r="T4">
        <v>50.62</v>
      </c>
      <c r="U4">
        <v>36739</v>
      </c>
      <c r="V4">
        <v>128</v>
      </c>
      <c r="W4" s="2">
        <f t="shared" ref="W4:W10" si="0">100*(S4-C4)/S4</f>
        <v>11.669367909238247</v>
      </c>
      <c r="X4" s="2">
        <f t="shared" ref="X4:X10" si="1">100*(S4-G4)/S4</f>
        <v>11.599907385968971</v>
      </c>
      <c r="Y4" s="2">
        <f t="shared" ref="Y4:Y10" si="2">100*(S4-K4)/S4</f>
        <v>9.0993285482750643</v>
      </c>
      <c r="Z4" s="2">
        <f t="shared" ref="Z4:Z10" si="3">100*(S4-O4)/S4</f>
        <v>4.9548506598749729</v>
      </c>
    </row>
    <row r="5" spans="1:30" x14ac:dyDescent="0.25">
      <c r="A5">
        <v>8</v>
      </c>
      <c r="B5">
        <v>507</v>
      </c>
      <c r="C5">
        <v>24.58</v>
      </c>
      <c r="D5">
        <v>16.170000000000002</v>
      </c>
      <c r="E5">
        <v>25490</v>
      </c>
      <c r="F5">
        <v>65</v>
      </c>
      <c r="G5">
        <v>25.12</v>
      </c>
      <c r="H5">
        <v>16.22</v>
      </c>
      <c r="I5">
        <v>25490</v>
      </c>
      <c r="J5">
        <v>65</v>
      </c>
      <c r="K5">
        <v>25.66</v>
      </c>
      <c r="L5">
        <v>16.52</v>
      </c>
      <c r="M5">
        <v>25490</v>
      </c>
      <c r="N5">
        <v>65</v>
      </c>
      <c r="O5">
        <v>26.99</v>
      </c>
      <c r="P5">
        <v>16.61</v>
      </c>
      <c r="Q5">
        <v>25490</v>
      </c>
      <c r="R5">
        <v>65</v>
      </c>
      <c r="S5">
        <v>30.4</v>
      </c>
      <c r="T5">
        <v>16.62</v>
      </c>
      <c r="U5">
        <v>25490</v>
      </c>
      <c r="V5">
        <v>65</v>
      </c>
      <c r="W5" s="2">
        <f t="shared" si="0"/>
        <v>19.144736842105264</v>
      </c>
      <c r="X5" s="2">
        <f t="shared" si="1"/>
        <v>17.368421052631572</v>
      </c>
      <c r="Y5" s="2">
        <f t="shared" si="2"/>
        <v>15.59210526315789</v>
      </c>
      <c r="Z5" s="2">
        <f t="shared" si="3"/>
        <v>11.217105263157896</v>
      </c>
      <c r="AA5" s="2">
        <f>AVERAGE(W3:W5)</f>
        <v>16.289964097004262</v>
      </c>
      <c r="AB5" s="2">
        <f t="shared" ref="AB5:AD5" si="4">AVERAGE(X3:X5)</f>
        <v>16.031032924775982</v>
      </c>
      <c r="AC5" s="2">
        <f t="shared" si="4"/>
        <v>12.801492914038702</v>
      </c>
      <c r="AD5" s="2">
        <f t="shared" si="4"/>
        <v>9.9449640950502651</v>
      </c>
    </row>
    <row r="6" spans="1:30" x14ac:dyDescent="0.25">
      <c r="A6">
        <v>16</v>
      </c>
      <c r="B6">
        <v>507</v>
      </c>
      <c r="C6">
        <v>19.86</v>
      </c>
      <c r="D6">
        <v>5.77</v>
      </c>
      <c r="E6">
        <v>16638</v>
      </c>
      <c r="F6">
        <v>34</v>
      </c>
      <c r="G6">
        <v>18.920000000000002</v>
      </c>
      <c r="H6">
        <v>5.62</v>
      </c>
      <c r="I6">
        <v>16638</v>
      </c>
      <c r="J6">
        <v>34</v>
      </c>
      <c r="K6">
        <v>20.46</v>
      </c>
      <c r="L6">
        <v>5.74</v>
      </c>
      <c r="M6">
        <v>16638</v>
      </c>
      <c r="N6">
        <v>34</v>
      </c>
      <c r="O6">
        <v>21.61</v>
      </c>
      <c r="P6">
        <v>5.76</v>
      </c>
      <c r="Q6">
        <v>16638</v>
      </c>
      <c r="R6">
        <v>34</v>
      </c>
      <c r="S6">
        <v>24.9</v>
      </c>
      <c r="T6">
        <v>5.89</v>
      </c>
      <c r="U6">
        <v>16638</v>
      </c>
      <c r="V6">
        <v>34</v>
      </c>
      <c r="W6" s="2">
        <f t="shared" si="0"/>
        <v>20.240963855421683</v>
      </c>
      <c r="X6" s="2">
        <f t="shared" si="1"/>
        <v>24.016064257028098</v>
      </c>
      <c r="Y6" s="2">
        <f t="shared" si="2"/>
        <v>17.83132530120481</v>
      </c>
      <c r="Z6" s="2">
        <f t="shared" si="3"/>
        <v>13.212851405622486</v>
      </c>
    </row>
    <row r="7" spans="1:30" x14ac:dyDescent="0.25">
      <c r="A7">
        <v>32</v>
      </c>
      <c r="B7">
        <v>507</v>
      </c>
      <c r="C7">
        <v>18.04</v>
      </c>
      <c r="D7">
        <v>2.94</v>
      </c>
      <c r="E7">
        <v>10373</v>
      </c>
      <c r="F7">
        <v>19</v>
      </c>
      <c r="G7">
        <v>18.559999999999999</v>
      </c>
      <c r="H7">
        <v>2.66</v>
      </c>
      <c r="I7">
        <v>10373</v>
      </c>
      <c r="J7">
        <v>19</v>
      </c>
      <c r="K7">
        <v>25.39</v>
      </c>
      <c r="L7">
        <v>3.09</v>
      </c>
      <c r="M7">
        <v>10373</v>
      </c>
      <c r="N7">
        <v>19</v>
      </c>
      <c r="O7">
        <v>21.11</v>
      </c>
      <c r="P7">
        <v>2.75</v>
      </c>
      <c r="Q7">
        <v>10373</v>
      </c>
      <c r="R7">
        <v>19</v>
      </c>
      <c r="S7">
        <v>23.67</v>
      </c>
      <c r="T7">
        <v>2.8</v>
      </c>
      <c r="U7">
        <v>10373</v>
      </c>
      <c r="V7">
        <v>19</v>
      </c>
      <c r="W7" s="2">
        <f t="shared" si="0"/>
        <v>23.785382340515429</v>
      </c>
      <c r="X7" s="2">
        <f t="shared" si="1"/>
        <v>21.588508660752016</v>
      </c>
      <c r="Y7" s="2">
        <f t="shared" si="2"/>
        <v>-7.2665821715251324</v>
      </c>
      <c r="Z7" s="2">
        <f t="shared" si="3"/>
        <v>10.815378115758353</v>
      </c>
      <c r="AA7" s="2">
        <f>AVERAGE(W6:W7)</f>
        <v>22.013173097968554</v>
      </c>
      <c r="AB7" s="2">
        <f t="shared" ref="AB7:AD7" si="5">AVERAGE(X6:X7)</f>
        <v>22.802286458890059</v>
      </c>
      <c r="AC7" s="2">
        <f t="shared" si="5"/>
        <v>5.2823715648398384</v>
      </c>
      <c r="AD7" s="2">
        <f t="shared" si="5"/>
        <v>12.014114760690418</v>
      </c>
    </row>
    <row r="8" spans="1:30" x14ac:dyDescent="0.25">
      <c r="A8">
        <v>64</v>
      </c>
      <c r="B8">
        <v>507</v>
      </c>
      <c r="C8">
        <v>16.809999999999999</v>
      </c>
      <c r="D8">
        <v>1.56</v>
      </c>
      <c r="E8">
        <v>6203</v>
      </c>
      <c r="F8">
        <v>12</v>
      </c>
      <c r="G8">
        <v>16.5</v>
      </c>
      <c r="H8">
        <v>1.58</v>
      </c>
      <c r="I8">
        <v>6203</v>
      </c>
      <c r="J8">
        <v>12</v>
      </c>
      <c r="K8">
        <v>20.64</v>
      </c>
      <c r="L8">
        <v>1.87</v>
      </c>
      <c r="M8">
        <v>6203</v>
      </c>
      <c r="N8">
        <v>12</v>
      </c>
      <c r="O8">
        <v>19.25</v>
      </c>
      <c r="P8">
        <v>1.57</v>
      </c>
      <c r="Q8">
        <v>6203</v>
      </c>
      <c r="R8">
        <v>12</v>
      </c>
      <c r="S8">
        <v>21.57</v>
      </c>
      <c r="T8">
        <v>1.59</v>
      </c>
      <c r="U8">
        <v>6203</v>
      </c>
      <c r="V8">
        <v>12</v>
      </c>
      <c r="W8" s="2">
        <f t="shared" si="0"/>
        <v>22.067686601761714</v>
      </c>
      <c r="X8" s="2">
        <f t="shared" si="1"/>
        <v>23.504867872044507</v>
      </c>
      <c r="Y8" s="2">
        <f t="shared" si="2"/>
        <v>4.3115438108483994</v>
      </c>
      <c r="Z8" s="2">
        <f t="shared" si="3"/>
        <v>10.755679184051925</v>
      </c>
    </row>
    <row r="9" spans="1:30" x14ac:dyDescent="0.25">
      <c r="A9">
        <v>128</v>
      </c>
      <c r="B9">
        <v>507</v>
      </c>
      <c r="C9">
        <v>16.21</v>
      </c>
      <c r="D9">
        <v>1.18</v>
      </c>
      <c r="E9">
        <v>3584</v>
      </c>
      <c r="F9">
        <v>9</v>
      </c>
      <c r="G9">
        <v>16.149999999999999</v>
      </c>
      <c r="H9">
        <v>1.1599999999999999</v>
      </c>
      <c r="I9">
        <v>3584</v>
      </c>
      <c r="J9">
        <v>9</v>
      </c>
      <c r="K9">
        <v>16.809999999999999</v>
      </c>
      <c r="L9">
        <v>1.1499999999999999</v>
      </c>
      <c r="M9">
        <v>3584</v>
      </c>
      <c r="N9">
        <v>9</v>
      </c>
      <c r="O9">
        <v>17.62</v>
      </c>
      <c r="P9">
        <v>1.29</v>
      </c>
      <c r="Q9">
        <v>3584</v>
      </c>
      <c r="R9">
        <v>9</v>
      </c>
      <c r="S9">
        <v>20.91</v>
      </c>
      <c r="T9">
        <v>1.1499999999999999</v>
      </c>
      <c r="U9">
        <v>3584</v>
      </c>
      <c r="V9">
        <v>9</v>
      </c>
      <c r="W9" s="2">
        <f t="shared" si="0"/>
        <v>22.477283596365371</v>
      </c>
      <c r="X9" s="2">
        <f t="shared" si="1"/>
        <v>22.764227642276431</v>
      </c>
      <c r="Y9" s="2">
        <f t="shared" si="2"/>
        <v>19.607843137254907</v>
      </c>
      <c r="Z9" s="2">
        <f t="shared" si="3"/>
        <v>15.734098517455758</v>
      </c>
    </row>
    <row r="10" spans="1:30" x14ac:dyDescent="0.25">
      <c r="A10">
        <v>256</v>
      </c>
      <c r="B10">
        <v>507</v>
      </c>
      <c r="C10">
        <v>16.25</v>
      </c>
      <c r="D10">
        <v>1.07</v>
      </c>
      <c r="E10">
        <v>2071</v>
      </c>
      <c r="F10">
        <v>8</v>
      </c>
      <c r="G10">
        <v>16.059999999999999</v>
      </c>
      <c r="H10">
        <v>0.99</v>
      </c>
      <c r="I10">
        <v>2071</v>
      </c>
      <c r="J10">
        <v>8</v>
      </c>
      <c r="K10">
        <v>17.72</v>
      </c>
      <c r="L10">
        <v>0.99</v>
      </c>
      <c r="M10">
        <v>2071</v>
      </c>
      <c r="N10">
        <v>8</v>
      </c>
      <c r="O10">
        <v>18.91</v>
      </c>
      <c r="P10">
        <v>0.97</v>
      </c>
      <c r="Q10">
        <v>2071</v>
      </c>
      <c r="R10">
        <v>8</v>
      </c>
      <c r="S10">
        <v>21.12</v>
      </c>
      <c r="T10">
        <v>0.98</v>
      </c>
      <c r="U10">
        <v>2071</v>
      </c>
      <c r="V10">
        <v>8</v>
      </c>
      <c r="W10" s="2">
        <f t="shared" si="0"/>
        <v>23.058712121212125</v>
      </c>
      <c r="X10" s="2">
        <f t="shared" si="1"/>
        <v>23.958333333333343</v>
      </c>
      <c r="Y10" s="2">
        <f t="shared" si="2"/>
        <v>16.098484848484858</v>
      </c>
      <c r="Z10" s="2">
        <f t="shared" si="3"/>
        <v>10.464015151515156</v>
      </c>
      <c r="AA10" s="2">
        <f>AVERAGE(W8:W10)</f>
        <v>22.534560773113071</v>
      </c>
      <c r="AB10" s="2">
        <f t="shared" ref="AB10:AD10" si="6">AVERAGE(X8:X10)</f>
        <v>23.409142949218094</v>
      </c>
      <c r="AC10" s="2">
        <f t="shared" si="6"/>
        <v>13.339290598862723</v>
      </c>
      <c r="AD10" s="2">
        <f t="shared" si="6"/>
        <v>12.317930951007613</v>
      </c>
    </row>
    <row r="11" spans="1:30" x14ac:dyDescent="0.25">
      <c r="W11" s="2">
        <f>AVERAGE(W3:W10)</f>
        <v>20.062490100786139</v>
      </c>
      <c r="X11" s="2">
        <f t="shared" ref="X11:Z11" si="7">AVERAGE(X3:X10)</f>
        <v>20.490637567470294</v>
      </c>
      <c r="Y11" s="2">
        <f t="shared" si="7"/>
        <v>11.123386708547994</v>
      </c>
      <c r="Z11" s="2">
        <f t="shared" si="7"/>
        <v>11.352114332444311</v>
      </c>
    </row>
  </sheetData>
  <mergeCells count="6">
    <mergeCell ref="W1:Z1"/>
    <mergeCell ref="C1:F1"/>
    <mergeCell ref="G1:J1"/>
    <mergeCell ref="K1:N1"/>
    <mergeCell ref="O1:R1"/>
    <mergeCell ref="S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2025-03-26T07:08:32Z</dcterms:created>
  <dcterms:modified xsi:type="dcterms:W3CDTF">2025-03-26T07:16:12Z</dcterms:modified>
</cp:coreProperties>
</file>
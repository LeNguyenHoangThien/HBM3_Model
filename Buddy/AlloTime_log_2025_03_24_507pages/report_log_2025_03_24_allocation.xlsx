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425\TranDaiDuong\RCPTV8\Buddy\"/>
    </mc:Choice>
  </mc:AlternateContent>
  <xr:revisionPtr revIDLastSave="0" documentId="13_ncr:1_{62705157-853B-4410-9356-F861CAAC436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X11" i="1" l="1"/>
  <c r="Y11" i="1"/>
  <c r="Z11" i="1"/>
  <c r="W11" i="1"/>
  <c r="Z4" i="1"/>
  <c r="Z5" i="1"/>
  <c r="Z6" i="1"/>
  <c r="Z7" i="1"/>
  <c r="Z8" i="1"/>
  <c r="Z9" i="1"/>
  <c r="Z10" i="1"/>
  <c r="Z3" i="1"/>
  <c r="Y4" i="1"/>
  <c r="Y5" i="1"/>
  <c r="Y6" i="1"/>
  <c r="Y7" i="1"/>
  <c r="Y8" i="1"/>
  <c r="Y9" i="1"/>
  <c r="Y10" i="1"/>
  <c r="Y3" i="1"/>
  <c r="X4" i="1"/>
  <c r="X5" i="1"/>
  <c r="X6" i="1"/>
  <c r="X7" i="1"/>
  <c r="X8" i="1"/>
  <c r="X9" i="1"/>
  <c r="X10" i="1"/>
  <c r="X3" i="1"/>
  <c r="W4" i="1"/>
  <c r="W5" i="1"/>
  <c r="W6" i="1"/>
  <c r="W7" i="1"/>
  <c r="W8" i="1"/>
  <c r="W9" i="1"/>
  <c r="W10" i="1"/>
  <c r="W3" i="1"/>
</calcChain>
</file>

<file path=xl/sharedStrings.xml><?xml version="1.0" encoding="utf-8"?>
<sst xmlns="http://schemas.openxmlformats.org/spreadsheetml/2006/main" count="27" uniqueCount="11">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</sst>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50.77</c:v>
                </c:pt>
                <c:pt idx="1">
                  <c:v>41.76</c:v>
                </c:pt>
                <c:pt idx="2">
                  <c:v>30.85</c:v>
                </c:pt>
                <c:pt idx="3">
                  <c:v>19.59</c:v>
                </c:pt>
                <c:pt idx="4">
                  <c:v>17.5</c:v>
                </c:pt>
                <c:pt idx="5">
                  <c:v>17.57</c:v>
                </c:pt>
                <c:pt idx="6">
                  <c:v>15.66</c:v>
                </c:pt>
                <c:pt idx="7">
                  <c:v>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7-4E84-9721-7C7695FF32D3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51.51</c:v>
                </c:pt>
                <c:pt idx="1">
                  <c:v>40.93</c:v>
                </c:pt>
                <c:pt idx="2">
                  <c:v>25.91</c:v>
                </c:pt>
                <c:pt idx="3">
                  <c:v>19.66</c:v>
                </c:pt>
                <c:pt idx="4">
                  <c:v>17.940000000000001</c:v>
                </c:pt>
                <c:pt idx="5">
                  <c:v>17.170000000000002</c:v>
                </c:pt>
                <c:pt idx="6">
                  <c:v>15.76</c:v>
                </c:pt>
                <c:pt idx="7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D7-4E84-9721-7C7695FF32D3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51.2</c:v>
                </c:pt>
                <c:pt idx="1">
                  <c:v>40.53</c:v>
                </c:pt>
                <c:pt idx="2">
                  <c:v>28.54</c:v>
                </c:pt>
                <c:pt idx="3">
                  <c:v>20.43</c:v>
                </c:pt>
                <c:pt idx="4">
                  <c:v>19.399999999999999</c:v>
                </c:pt>
                <c:pt idx="5">
                  <c:v>17.940000000000001</c:v>
                </c:pt>
                <c:pt idx="6">
                  <c:v>16.829999999999998</c:v>
                </c:pt>
                <c:pt idx="7">
                  <c:v>17.27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D7-4E84-9721-7C7695FF32D3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52.86</c:v>
                </c:pt>
                <c:pt idx="1">
                  <c:v>39.83</c:v>
                </c:pt>
                <c:pt idx="2">
                  <c:v>27.44</c:v>
                </c:pt>
                <c:pt idx="3">
                  <c:v>21.65</c:v>
                </c:pt>
                <c:pt idx="4">
                  <c:v>19.829999999999998</c:v>
                </c:pt>
                <c:pt idx="5">
                  <c:v>19.190000000000001</c:v>
                </c:pt>
                <c:pt idx="6">
                  <c:v>17.940000000000001</c:v>
                </c:pt>
                <c:pt idx="7">
                  <c:v>18.29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D7-4E84-9721-7C7695FF32D3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59.38</c:v>
                </c:pt>
                <c:pt idx="1">
                  <c:v>45.21</c:v>
                </c:pt>
                <c:pt idx="2">
                  <c:v>30.02</c:v>
                </c:pt>
                <c:pt idx="3">
                  <c:v>24.55</c:v>
                </c:pt>
                <c:pt idx="4">
                  <c:v>24.22</c:v>
                </c:pt>
                <c:pt idx="5">
                  <c:v>21.57</c:v>
                </c:pt>
                <c:pt idx="6">
                  <c:v>20.91</c:v>
                </c:pt>
                <c:pt idx="7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D7-4E84-9721-7C7695FF3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Y18" sqref="Y18"/>
    </sheetView>
  </sheetViews>
  <sheetFormatPr defaultRowHeight="15" x14ac:dyDescent="0.25"/>
  <sheetData>
    <row r="1" spans="1:26" x14ac:dyDescent="0.25"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4</v>
      </c>
      <c r="T1" s="1"/>
      <c r="U1" s="1"/>
      <c r="V1" s="1"/>
    </row>
    <row r="2" spans="1:2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</row>
    <row r="3" spans="1:26" x14ac:dyDescent="0.25">
      <c r="A3">
        <v>2</v>
      </c>
      <c r="B3">
        <v>507</v>
      </c>
      <c r="C3">
        <v>50.77</v>
      </c>
      <c r="D3">
        <v>195.37</v>
      </c>
      <c r="E3">
        <v>49026</v>
      </c>
      <c r="F3">
        <v>254</v>
      </c>
      <c r="G3">
        <v>51.51</v>
      </c>
      <c r="H3">
        <v>187.61</v>
      </c>
      <c r="I3">
        <v>49026</v>
      </c>
      <c r="J3">
        <v>254</v>
      </c>
      <c r="K3">
        <v>51.2</v>
      </c>
      <c r="L3">
        <v>185.34</v>
      </c>
      <c r="M3">
        <v>49026</v>
      </c>
      <c r="N3">
        <v>254</v>
      </c>
      <c r="O3">
        <v>52.86</v>
      </c>
      <c r="P3">
        <v>183.38</v>
      </c>
      <c r="Q3">
        <v>49026</v>
      </c>
      <c r="R3">
        <v>254</v>
      </c>
      <c r="S3">
        <v>59.38</v>
      </c>
      <c r="T3">
        <v>178.38</v>
      </c>
      <c r="U3">
        <v>49026</v>
      </c>
      <c r="V3">
        <v>254</v>
      </c>
      <c r="W3" s="2">
        <f>100*(S3-C3)/S3</f>
        <v>14.499831593128999</v>
      </c>
      <c r="X3" s="2">
        <f>100*(S3-G3)/S3</f>
        <v>13.253620747726515</v>
      </c>
      <c r="Y3" s="2">
        <f>100*(S3-K3)/S3</f>
        <v>13.775682047827551</v>
      </c>
      <c r="Z3" s="2">
        <f>100*(S3-O3)/S3</f>
        <v>10.980127989221966</v>
      </c>
    </row>
    <row r="4" spans="1:26" x14ac:dyDescent="0.25">
      <c r="A4">
        <v>4</v>
      </c>
      <c r="B4">
        <v>507</v>
      </c>
      <c r="C4">
        <v>41.76</v>
      </c>
      <c r="D4">
        <v>53.52</v>
      </c>
      <c r="E4">
        <v>36739</v>
      </c>
      <c r="F4">
        <v>128</v>
      </c>
      <c r="G4">
        <v>40.93</v>
      </c>
      <c r="H4">
        <v>52.88</v>
      </c>
      <c r="I4">
        <v>36739</v>
      </c>
      <c r="J4">
        <v>128</v>
      </c>
      <c r="K4">
        <v>40.53</v>
      </c>
      <c r="L4">
        <v>50.77</v>
      </c>
      <c r="M4">
        <v>36739</v>
      </c>
      <c r="N4">
        <v>128</v>
      </c>
      <c r="O4">
        <v>39.83</v>
      </c>
      <c r="P4">
        <v>52.18</v>
      </c>
      <c r="Q4">
        <v>36739</v>
      </c>
      <c r="R4">
        <v>128</v>
      </c>
      <c r="S4">
        <v>45.21</v>
      </c>
      <c r="T4">
        <v>52.71</v>
      </c>
      <c r="U4">
        <v>36739</v>
      </c>
      <c r="V4">
        <v>128</v>
      </c>
      <c r="W4" s="2">
        <f t="shared" ref="W4:W10" si="0">100*(S4-C4)/S4</f>
        <v>7.6310550763105569</v>
      </c>
      <c r="X4" s="2">
        <f t="shared" ref="X4:X10" si="1">100*(S4-G4)/S4</f>
        <v>9.466932094669323</v>
      </c>
      <c r="Y4" s="2">
        <f t="shared" ref="Y4:Y10" si="2">100*(S4-K4)/S4</f>
        <v>10.351692103516921</v>
      </c>
      <c r="Z4" s="2">
        <f t="shared" ref="Z4:Z10" si="3">100*(S4-O4)/S4</f>
        <v>11.900022119000226</v>
      </c>
    </row>
    <row r="5" spans="1:26" x14ac:dyDescent="0.25">
      <c r="A5">
        <v>8</v>
      </c>
      <c r="B5">
        <v>507</v>
      </c>
      <c r="C5">
        <v>30.85</v>
      </c>
      <c r="D5">
        <v>17.079999999999998</v>
      </c>
      <c r="E5">
        <v>25490</v>
      </c>
      <c r="F5">
        <v>65</v>
      </c>
      <c r="G5">
        <v>25.91</v>
      </c>
      <c r="H5">
        <v>16.48</v>
      </c>
      <c r="I5">
        <v>25490</v>
      </c>
      <c r="J5">
        <v>65</v>
      </c>
      <c r="K5">
        <v>28.54</v>
      </c>
      <c r="L5">
        <v>16.53</v>
      </c>
      <c r="M5">
        <v>25490</v>
      </c>
      <c r="N5">
        <v>65</v>
      </c>
      <c r="O5">
        <v>27.44</v>
      </c>
      <c r="P5">
        <v>16.21</v>
      </c>
      <c r="Q5">
        <v>25490</v>
      </c>
      <c r="R5">
        <v>65</v>
      </c>
      <c r="S5">
        <v>30.02</v>
      </c>
      <c r="T5">
        <v>16.309999999999999</v>
      </c>
      <c r="U5">
        <v>25490</v>
      </c>
      <c r="V5">
        <v>65</v>
      </c>
      <c r="W5" s="2">
        <f t="shared" si="0"/>
        <v>-2.764823451032651</v>
      </c>
      <c r="X5" s="2">
        <f t="shared" si="1"/>
        <v>13.690872751498999</v>
      </c>
      <c r="Y5" s="2">
        <f t="shared" si="2"/>
        <v>4.9300466355762849</v>
      </c>
      <c r="Z5" s="2">
        <f t="shared" si="3"/>
        <v>8.5942704863424328</v>
      </c>
    </row>
    <row r="6" spans="1:26" x14ac:dyDescent="0.25">
      <c r="A6">
        <v>16</v>
      </c>
      <c r="B6">
        <v>507</v>
      </c>
      <c r="C6">
        <v>19.59</v>
      </c>
      <c r="D6">
        <v>5.89</v>
      </c>
      <c r="E6">
        <v>16638</v>
      </c>
      <c r="F6">
        <v>34</v>
      </c>
      <c r="G6">
        <v>19.66</v>
      </c>
      <c r="H6">
        <v>6.2</v>
      </c>
      <c r="I6">
        <v>16638</v>
      </c>
      <c r="J6">
        <v>34</v>
      </c>
      <c r="K6">
        <v>20.43</v>
      </c>
      <c r="L6">
        <v>5.84</v>
      </c>
      <c r="M6">
        <v>16638</v>
      </c>
      <c r="N6">
        <v>34</v>
      </c>
      <c r="O6">
        <v>21.65</v>
      </c>
      <c r="P6">
        <v>5.78</v>
      </c>
      <c r="Q6">
        <v>16638</v>
      </c>
      <c r="R6">
        <v>34</v>
      </c>
      <c r="S6">
        <v>24.55</v>
      </c>
      <c r="T6">
        <v>5.89</v>
      </c>
      <c r="U6">
        <v>16638</v>
      </c>
      <c r="V6">
        <v>34</v>
      </c>
      <c r="W6" s="2">
        <f t="shared" si="0"/>
        <v>20.203665987780045</v>
      </c>
      <c r="X6" s="2">
        <f t="shared" si="1"/>
        <v>19.918533604887987</v>
      </c>
      <c r="Y6" s="2">
        <f t="shared" si="2"/>
        <v>16.782077393075362</v>
      </c>
      <c r="Z6" s="2">
        <f t="shared" si="3"/>
        <v>11.812627291242372</v>
      </c>
    </row>
    <row r="7" spans="1:26" x14ac:dyDescent="0.25">
      <c r="A7">
        <v>32</v>
      </c>
      <c r="B7">
        <v>507</v>
      </c>
      <c r="C7">
        <v>17.5</v>
      </c>
      <c r="D7">
        <v>2.61</v>
      </c>
      <c r="E7">
        <v>10373</v>
      </c>
      <c r="F7">
        <v>19</v>
      </c>
      <c r="G7">
        <v>17.940000000000001</v>
      </c>
      <c r="H7">
        <v>2.66</v>
      </c>
      <c r="I7">
        <v>10373</v>
      </c>
      <c r="J7">
        <v>19</v>
      </c>
      <c r="K7">
        <v>19.399999999999999</v>
      </c>
      <c r="L7">
        <v>2.69</v>
      </c>
      <c r="M7">
        <v>10373</v>
      </c>
      <c r="N7">
        <v>19</v>
      </c>
      <c r="O7">
        <v>19.829999999999998</v>
      </c>
      <c r="P7">
        <v>2.67</v>
      </c>
      <c r="Q7">
        <v>10373</v>
      </c>
      <c r="R7">
        <v>19</v>
      </c>
      <c r="S7">
        <v>24.22</v>
      </c>
      <c r="T7">
        <v>2.71</v>
      </c>
      <c r="U7">
        <v>10373</v>
      </c>
      <c r="V7">
        <v>19</v>
      </c>
      <c r="W7" s="2">
        <f t="shared" si="0"/>
        <v>27.74566473988439</v>
      </c>
      <c r="X7" s="2">
        <f t="shared" si="1"/>
        <v>25.928984310487191</v>
      </c>
      <c r="Y7" s="2">
        <f t="shared" si="2"/>
        <v>19.900908340214698</v>
      </c>
      <c r="Z7" s="2">
        <f t="shared" si="3"/>
        <v>18.12551610239472</v>
      </c>
    </row>
    <row r="8" spans="1:26" x14ac:dyDescent="0.25">
      <c r="A8">
        <v>64</v>
      </c>
      <c r="B8">
        <v>507</v>
      </c>
      <c r="C8">
        <v>17.57</v>
      </c>
      <c r="D8">
        <v>1.7</v>
      </c>
      <c r="E8">
        <v>6203</v>
      </c>
      <c r="F8">
        <v>12</v>
      </c>
      <c r="G8">
        <v>17.170000000000002</v>
      </c>
      <c r="H8">
        <v>1.6</v>
      </c>
      <c r="I8">
        <v>6203</v>
      </c>
      <c r="J8">
        <v>12</v>
      </c>
      <c r="K8">
        <v>17.940000000000001</v>
      </c>
      <c r="L8">
        <v>1.75</v>
      </c>
      <c r="M8">
        <v>6203</v>
      </c>
      <c r="N8">
        <v>12</v>
      </c>
      <c r="O8">
        <v>19.190000000000001</v>
      </c>
      <c r="P8">
        <v>1.58</v>
      </c>
      <c r="Q8">
        <v>6203</v>
      </c>
      <c r="R8">
        <v>12</v>
      </c>
      <c r="S8">
        <v>21.57</v>
      </c>
      <c r="T8">
        <v>1.63</v>
      </c>
      <c r="U8">
        <v>6203</v>
      </c>
      <c r="V8">
        <v>12</v>
      </c>
      <c r="W8" s="2">
        <f t="shared" si="0"/>
        <v>18.544274455261938</v>
      </c>
      <c r="X8" s="2">
        <f t="shared" si="1"/>
        <v>20.398701900788126</v>
      </c>
      <c r="Y8" s="2">
        <f t="shared" si="2"/>
        <v>16.828929068150202</v>
      </c>
      <c r="Z8" s="2">
        <f t="shared" si="3"/>
        <v>11.033843300880848</v>
      </c>
    </row>
    <row r="9" spans="1:26" x14ac:dyDescent="0.25">
      <c r="A9">
        <v>128</v>
      </c>
      <c r="B9">
        <v>507</v>
      </c>
      <c r="C9">
        <v>15.66</v>
      </c>
      <c r="D9">
        <v>1.25</v>
      </c>
      <c r="E9">
        <v>3584</v>
      </c>
      <c r="F9">
        <v>9</v>
      </c>
      <c r="G9">
        <v>15.76</v>
      </c>
      <c r="H9">
        <v>1.17</v>
      </c>
      <c r="I9">
        <v>3584</v>
      </c>
      <c r="J9">
        <v>9</v>
      </c>
      <c r="K9">
        <v>16.829999999999998</v>
      </c>
      <c r="L9">
        <v>1.1599999999999999</v>
      </c>
      <c r="M9">
        <v>3584</v>
      </c>
      <c r="N9">
        <v>9</v>
      </c>
      <c r="O9">
        <v>17.940000000000001</v>
      </c>
      <c r="P9">
        <v>1.1399999999999999</v>
      </c>
      <c r="Q9">
        <v>3584</v>
      </c>
      <c r="R9">
        <v>9</v>
      </c>
      <c r="S9">
        <v>20.91</v>
      </c>
      <c r="T9">
        <v>1.19</v>
      </c>
      <c r="U9">
        <v>3584</v>
      </c>
      <c r="V9">
        <v>9</v>
      </c>
      <c r="W9" s="2">
        <f t="shared" si="0"/>
        <v>25.107604017216641</v>
      </c>
      <c r="X9" s="2">
        <f t="shared" si="1"/>
        <v>24.62936394069823</v>
      </c>
      <c r="Y9" s="2">
        <f t="shared" si="2"/>
        <v>19.512195121951226</v>
      </c>
      <c r="Z9" s="2">
        <f t="shared" si="3"/>
        <v>14.203730272596838</v>
      </c>
    </row>
    <row r="10" spans="1:26" x14ac:dyDescent="0.25">
      <c r="A10">
        <v>256</v>
      </c>
      <c r="B10">
        <v>507</v>
      </c>
      <c r="C10">
        <v>17.63</v>
      </c>
      <c r="D10">
        <v>1.1499999999999999</v>
      </c>
      <c r="E10">
        <v>2071</v>
      </c>
      <c r="F10">
        <v>8</v>
      </c>
      <c r="G10">
        <v>16.100000000000001</v>
      </c>
      <c r="H10">
        <v>1</v>
      </c>
      <c r="I10">
        <v>2071</v>
      </c>
      <c r="J10">
        <v>8</v>
      </c>
      <c r="K10">
        <v>17.27</v>
      </c>
      <c r="L10">
        <v>0.99</v>
      </c>
      <c r="M10">
        <v>2071</v>
      </c>
      <c r="N10">
        <v>8</v>
      </c>
      <c r="O10">
        <v>18.29</v>
      </c>
      <c r="P10">
        <v>0.98</v>
      </c>
      <c r="Q10">
        <v>2071</v>
      </c>
      <c r="R10">
        <v>8</v>
      </c>
      <c r="S10">
        <v>21.13</v>
      </c>
      <c r="T10">
        <v>1.01</v>
      </c>
      <c r="U10">
        <v>2071</v>
      </c>
      <c r="V10">
        <v>8</v>
      </c>
      <c r="W10" s="2">
        <f t="shared" si="0"/>
        <v>16.564126833885471</v>
      </c>
      <c r="X10" s="2">
        <f t="shared" si="1"/>
        <v>23.805016564126824</v>
      </c>
      <c r="Y10" s="2">
        <f t="shared" si="2"/>
        <v>18.267865593942261</v>
      </c>
      <c r="Z10" s="2">
        <f t="shared" si="3"/>
        <v>13.440605773781353</v>
      </c>
    </row>
    <row r="11" spans="1:26" x14ac:dyDescent="0.25">
      <c r="W11" s="2">
        <f>AVERAGE(W3:W10)</f>
        <v>15.941424906554424</v>
      </c>
      <c r="X11" s="2">
        <f t="shared" ref="X11:Z11" si="4">AVERAGE(X3:X10)</f>
        <v>18.886503239360401</v>
      </c>
      <c r="Y11" s="2">
        <f t="shared" si="4"/>
        <v>15.043674538031814</v>
      </c>
      <c r="Z11" s="2">
        <f t="shared" si="4"/>
        <v>12.511342916932596</v>
      </c>
    </row>
  </sheetData>
  <mergeCells count="5">
    <mergeCell ref="C1:F1"/>
    <mergeCell ref="G1:J1"/>
    <mergeCell ref="K1:N1"/>
    <mergeCell ref="O1:R1"/>
    <mergeCell ref="S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2025-03-24T14:55:01Z</dcterms:created>
  <dcterms:modified xsi:type="dcterms:W3CDTF">2025-03-24T15:06:42Z</dcterms:modified>
</cp:coreProperties>
</file>
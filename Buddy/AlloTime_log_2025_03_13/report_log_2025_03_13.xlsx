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duongtran\RCPTV8\Buddy\AlloTime_log_2025_03_13\"/>
    </mc:Choice>
  </mc:AlternateContent>
  <xr:revisionPtr revIDLastSave="0" documentId="13_ncr:1_{BFB53517-FC21-40B4-B90A-C1689D31C757}" xr6:coauthVersionLast="47" xr6:coauthVersionMax="47" xr10:uidLastSave="{00000000-0000-0000-0000-000000000000}"/>
  <bookViews>
    <workbookView xWindow="6133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1" l="1"/>
  <c r="AC8" i="1"/>
  <c r="AD8" i="1"/>
  <c r="AA8" i="1"/>
  <c r="AB6" i="1"/>
  <c r="AC6" i="1"/>
  <c r="AD6" i="1"/>
  <c r="AA6" i="1"/>
  <c r="AD3" i="1"/>
  <c r="AB3" i="1"/>
  <c r="AC3" i="1"/>
  <c r="AA3" i="1"/>
  <c r="Z4" i="1"/>
  <c r="Z5" i="1"/>
  <c r="Z6" i="1"/>
  <c r="Z7" i="1"/>
  <c r="Z8" i="1"/>
  <c r="Z9" i="1"/>
  <c r="Z10" i="1"/>
  <c r="Z3" i="1"/>
  <c r="Y4" i="1"/>
  <c r="Y5" i="1"/>
  <c r="Y6" i="1"/>
  <c r="Y7" i="1"/>
  <c r="Y8" i="1"/>
  <c r="Y9" i="1"/>
  <c r="Y10" i="1"/>
  <c r="Y3" i="1"/>
  <c r="X4" i="1"/>
  <c r="X5" i="1"/>
  <c r="X6" i="1"/>
  <c r="X7" i="1"/>
  <c r="X8" i="1"/>
  <c r="X9" i="1"/>
  <c r="X10" i="1"/>
  <c r="X3" i="1"/>
  <c r="W4" i="1"/>
  <c r="W5" i="1"/>
  <c r="W6" i="1"/>
  <c r="W7" i="1"/>
  <c r="W8" i="1"/>
  <c r="W9" i="1"/>
  <c r="W10" i="1"/>
  <c r="W3" i="1"/>
</calcChain>
</file>

<file path=xl/sharedStrings.xml><?xml version="1.0" encoding="utf-8"?>
<sst xmlns="http://schemas.openxmlformats.org/spreadsheetml/2006/main" count="32" uniqueCount="16">
  <si>
    <t>TRAD</t>
  </si>
  <si>
    <t>NAPOT</t>
  </si>
  <si>
    <t>CAMB</t>
  </si>
  <si>
    <t>RCPT</t>
  </si>
  <si>
    <t>cRCPT</t>
  </si>
  <si>
    <t>BlockSize</t>
  </si>
  <si>
    <t>ReqSize</t>
  </si>
  <si>
    <t>AlloTime</t>
  </si>
  <si>
    <t>DealloTime</t>
  </si>
  <si>
    <t>FreeNodes</t>
  </si>
  <si>
    <t>AlloNodes</t>
  </si>
  <si>
    <t>TRAD</t>
    <phoneticPr fontId="1" type="noConversion"/>
  </si>
  <si>
    <t>NAPOT</t>
    <phoneticPr fontId="1" type="noConversion"/>
  </si>
  <si>
    <t>CAMB</t>
    <phoneticPr fontId="1" type="noConversion"/>
  </si>
  <si>
    <t>RCPT</t>
    <phoneticPr fontId="1" type="noConversion"/>
  </si>
  <si>
    <t>Compare 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</si>
</sst>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TRAD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Sheet1!$C$3:$C$10</c:f>
              <c:numCache>
                <c:formatCode>General</c:formatCode>
                <c:ptCount val="8"/>
                <c:pt idx="0">
                  <c:v>607.98</c:v>
                </c:pt>
                <c:pt idx="1">
                  <c:v>409.33</c:v>
                </c:pt>
                <c:pt idx="2">
                  <c:v>325.52999999999997</c:v>
                </c:pt>
                <c:pt idx="3">
                  <c:v>311.12</c:v>
                </c:pt>
                <c:pt idx="4">
                  <c:v>386.44</c:v>
                </c:pt>
                <c:pt idx="5">
                  <c:v>357.27</c:v>
                </c:pt>
                <c:pt idx="6">
                  <c:v>341.74</c:v>
                </c:pt>
                <c:pt idx="7">
                  <c:v>340.32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3-405A-ACDE-4CEABB0FE82E}"/>
            </c:ext>
          </c:extLst>
        </c:ser>
        <c:ser>
          <c:idx val="1"/>
          <c:order val="1"/>
          <c:tx>
            <c:v>NAPOT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Sheet1!$G$3:$G$10</c:f>
              <c:numCache>
                <c:formatCode>General</c:formatCode>
                <c:ptCount val="8"/>
                <c:pt idx="0">
                  <c:v>596.95000000000005</c:v>
                </c:pt>
                <c:pt idx="1">
                  <c:v>407.22</c:v>
                </c:pt>
                <c:pt idx="2">
                  <c:v>317.08</c:v>
                </c:pt>
                <c:pt idx="3">
                  <c:v>304.94</c:v>
                </c:pt>
                <c:pt idx="4">
                  <c:v>312</c:v>
                </c:pt>
                <c:pt idx="5">
                  <c:v>335.74</c:v>
                </c:pt>
                <c:pt idx="6">
                  <c:v>318.12</c:v>
                </c:pt>
                <c:pt idx="7">
                  <c:v>293.08999999999997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3-405A-ACDE-4CEABB0FE82E}"/>
            </c:ext>
          </c:extLst>
        </c:ser>
        <c:ser>
          <c:idx val="2"/>
          <c:order val="2"/>
          <c:tx>
            <c:v>CAMB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Sheet1!$K$3:$K$10</c:f>
              <c:numCache>
                <c:formatCode>General</c:formatCode>
                <c:ptCount val="8"/>
                <c:pt idx="0">
                  <c:v>634.61</c:v>
                </c:pt>
                <c:pt idx="1">
                  <c:v>438.39</c:v>
                </c:pt>
                <c:pt idx="2">
                  <c:v>354.66</c:v>
                </c:pt>
                <c:pt idx="3">
                  <c:v>337.71</c:v>
                </c:pt>
                <c:pt idx="4">
                  <c:v>331.88</c:v>
                </c:pt>
                <c:pt idx="5">
                  <c:v>329.81</c:v>
                </c:pt>
                <c:pt idx="6">
                  <c:v>364.53</c:v>
                </c:pt>
                <c:pt idx="7">
                  <c:v>365.62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F3-405A-ACDE-4CEABB0FE82E}"/>
            </c:ext>
          </c:extLst>
        </c:ser>
        <c:ser>
          <c:idx val="3"/>
          <c:order val="3"/>
          <c:tx>
            <c:v>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Sheet1!$O$3:$O$10</c:f>
              <c:numCache>
                <c:formatCode>General</c:formatCode>
                <c:ptCount val="8"/>
                <c:pt idx="0">
                  <c:v>640.6</c:v>
                </c:pt>
                <c:pt idx="1">
                  <c:v>450.73</c:v>
                </c:pt>
                <c:pt idx="2">
                  <c:v>366.8</c:v>
                </c:pt>
                <c:pt idx="3">
                  <c:v>350.58</c:v>
                </c:pt>
                <c:pt idx="4">
                  <c:v>435.03</c:v>
                </c:pt>
                <c:pt idx="5">
                  <c:v>405.11</c:v>
                </c:pt>
                <c:pt idx="6">
                  <c:v>373.16</c:v>
                </c:pt>
                <c:pt idx="7">
                  <c:v>371.29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F3-405A-ACDE-4CEABB0FE82E}"/>
            </c:ext>
          </c:extLst>
        </c:ser>
        <c:ser>
          <c:idx val="4"/>
          <c:order val="4"/>
          <c:tx>
            <c:v>cRCPT</c:v>
          </c:tx>
          <c:invertIfNegative val="0"/>
          <c:cat>
            <c:numRef>
              <c:f>Sheet1!$A$3:$A$10</c:f>
              <c:numCache>
                <c:formatCode>General</c:formatCode>
                <c:ptCount val="8"/>
                <c:pt idx="0">
                  <c:v>2</c:v>
                </c:pt>
                <c:pt idx="1">
                  <c:v>4</c:v>
                </c:pt>
                <c:pt idx="2">
                  <c:v>8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128</c:v>
                </c:pt>
                <c:pt idx="7">
                  <c:v>256</c:v>
                </c:pt>
              </c:numCache>
            </c:numRef>
          </c:cat>
          <c:val>
            <c:numRef>
              <c:f>Sheet1!$S$3:$S$10</c:f>
              <c:numCache>
                <c:formatCode>General</c:formatCode>
                <c:ptCount val="8"/>
                <c:pt idx="0">
                  <c:v>714.99</c:v>
                </c:pt>
                <c:pt idx="1">
                  <c:v>516.22</c:v>
                </c:pt>
                <c:pt idx="2">
                  <c:v>487.44</c:v>
                </c:pt>
                <c:pt idx="3">
                  <c:v>491.08</c:v>
                </c:pt>
                <c:pt idx="4">
                  <c:v>520.21</c:v>
                </c:pt>
                <c:pt idx="5">
                  <c:v>488.99</c:v>
                </c:pt>
                <c:pt idx="6">
                  <c:v>444.63</c:v>
                </c:pt>
                <c:pt idx="7">
                  <c:v>471.75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F3-405A-ACDE-4CEABB0FE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Block size (pages)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aseline="0">
                    <a:latin typeface="Times New Roman"/>
                  </a:defRPr>
                </a:pPr>
                <a:r>
                  <a:rPr lang="en-US" sz="1200" baseline="0">
                    <a:latin typeface="Times New Roman"/>
                  </a:rPr>
                  <a:t>Allocation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1200" baseline="0">
                <a:latin typeface="Times New Roman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200" baseline="0">
              <a:latin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304800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"/>
  <sheetViews>
    <sheetView tabSelected="1" topLeftCell="C1" workbookViewId="0">
      <selection activeCell="AB11" sqref="AB11"/>
    </sheetView>
  </sheetViews>
  <sheetFormatPr defaultRowHeight="17.399999999999999"/>
  <sheetData>
    <row r="1" spans="1:30">
      <c r="A1" s="1"/>
      <c r="B1" s="1"/>
      <c r="C1" s="6" t="s">
        <v>0</v>
      </c>
      <c r="D1" s="6"/>
      <c r="E1" s="6"/>
      <c r="F1" s="6"/>
      <c r="G1" s="6" t="s">
        <v>1</v>
      </c>
      <c r="H1" s="6"/>
      <c r="I1" s="6"/>
      <c r="J1" s="6"/>
      <c r="K1" s="6" t="s">
        <v>2</v>
      </c>
      <c r="L1" s="6"/>
      <c r="M1" s="6"/>
      <c r="N1" s="6"/>
      <c r="O1" s="6" t="s">
        <v>3</v>
      </c>
      <c r="P1" s="6"/>
      <c r="Q1" s="6"/>
      <c r="R1" s="6"/>
      <c r="S1" s="6" t="s">
        <v>4</v>
      </c>
      <c r="T1" s="6"/>
      <c r="U1" s="6"/>
      <c r="V1" s="6"/>
      <c r="W1" s="3" t="s">
        <v>15</v>
      </c>
      <c r="X1" s="4"/>
      <c r="Y1" s="4"/>
      <c r="Z1" s="5"/>
    </row>
    <row r="2" spans="1:30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14</v>
      </c>
    </row>
    <row r="3" spans="1:30">
      <c r="A3" s="1">
        <v>2</v>
      </c>
      <c r="B3" s="1">
        <v>8640</v>
      </c>
      <c r="C3" s="1">
        <v>607.98</v>
      </c>
      <c r="D3" s="1">
        <v>37317</v>
      </c>
      <c r="E3" s="1">
        <v>49026</v>
      </c>
      <c r="F3" s="1">
        <v>4320</v>
      </c>
      <c r="G3" s="1">
        <v>596.95000000000005</v>
      </c>
      <c r="H3" s="1">
        <v>57975.1</v>
      </c>
      <c r="I3" s="1">
        <v>49026</v>
      </c>
      <c r="J3" s="1">
        <v>4320</v>
      </c>
      <c r="K3" s="1">
        <v>634.61</v>
      </c>
      <c r="L3" s="1">
        <v>39171.199999999997</v>
      </c>
      <c r="M3" s="1">
        <v>49026</v>
      </c>
      <c r="N3" s="1">
        <v>4320</v>
      </c>
      <c r="O3" s="1">
        <v>640.6</v>
      </c>
      <c r="P3" s="1">
        <v>39046.1</v>
      </c>
      <c r="Q3" s="1">
        <v>49026</v>
      </c>
      <c r="R3" s="1">
        <v>4320</v>
      </c>
      <c r="S3" s="1">
        <v>714.99</v>
      </c>
      <c r="T3" s="1">
        <v>37433.5</v>
      </c>
      <c r="U3" s="1">
        <v>49026</v>
      </c>
      <c r="V3" s="1">
        <v>4320</v>
      </c>
      <c r="W3" s="2">
        <f>100*(S3-C3)/S3</f>
        <v>14.966642890110352</v>
      </c>
      <c r="X3" s="2">
        <f>100*(S3-G3)/S3</f>
        <v>16.509321808696619</v>
      </c>
      <c r="Y3" s="2">
        <f>100*(S3-K3)/S3</f>
        <v>11.242115274339501</v>
      </c>
      <c r="Z3" s="2">
        <f>100*(S3-O3)/S3</f>
        <v>10.404341319459011</v>
      </c>
      <c r="AA3" s="7">
        <f>AVERAGE(W3:W5)</f>
        <v>22.963108923651252</v>
      </c>
      <c r="AB3" s="7">
        <f t="shared" ref="AB3:AC3" si="0">AVERAGE(X3:X5)</f>
        <v>24.191430947320118</v>
      </c>
      <c r="AC3" s="7">
        <f t="shared" si="0"/>
        <v>17.853098732014008</v>
      </c>
      <c r="AD3" s="7">
        <f>AVERAGE(Z3:Z5)</f>
        <v>15.946835205847719</v>
      </c>
    </row>
    <row r="4" spans="1:30">
      <c r="A4" s="1">
        <v>4</v>
      </c>
      <c r="B4" s="1">
        <v>8640</v>
      </c>
      <c r="C4" s="1">
        <v>409.33</v>
      </c>
      <c r="D4" s="1">
        <v>9612.9</v>
      </c>
      <c r="E4" s="1">
        <v>36739</v>
      </c>
      <c r="F4" s="1">
        <v>2160</v>
      </c>
      <c r="G4" s="1">
        <v>407.22</v>
      </c>
      <c r="H4" s="1">
        <v>9678.74</v>
      </c>
      <c r="I4" s="1">
        <v>36739</v>
      </c>
      <c r="J4" s="1">
        <v>2160</v>
      </c>
      <c r="K4" s="1">
        <v>438.39</v>
      </c>
      <c r="L4" s="1">
        <v>10197.5</v>
      </c>
      <c r="M4" s="1">
        <v>36739</v>
      </c>
      <c r="N4" s="1">
        <v>2160</v>
      </c>
      <c r="O4" s="1">
        <v>450.73</v>
      </c>
      <c r="P4" s="1">
        <v>10218.6</v>
      </c>
      <c r="Q4" s="1">
        <v>36739</v>
      </c>
      <c r="R4" s="1">
        <v>2160</v>
      </c>
      <c r="S4" s="1">
        <v>516.22</v>
      </c>
      <c r="T4" s="1">
        <v>9139.66</v>
      </c>
      <c r="U4" s="1">
        <v>36739</v>
      </c>
      <c r="V4" s="1">
        <v>2237</v>
      </c>
      <c r="W4" s="2">
        <f t="shared" ref="W4:W10" si="1">100*(S4-C4)/S4</f>
        <v>20.706288016737055</v>
      </c>
      <c r="X4" s="2">
        <f t="shared" ref="X4:X10" si="2">100*(S4-G4)/S4</f>
        <v>21.115028476231064</v>
      </c>
      <c r="Y4" s="2">
        <f t="shared" ref="Y4:Y10" si="3">100*(S4-K4)/S4</f>
        <v>15.076905195459307</v>
      </c>
      <c r="Z4" s="2">
        <f t="shared" ref="Z4:Z10" si="4">100*(S4-O4)/S4</f>
        <v>12.686451512920849</v>
      </c>
    </row>
    <row r="5" spans="1:30">
      <c r="A5" s="1">
        <v>8</v>
      </c>
      <c r="B5" s="1">
        <v>8640</v>
      </c>
      <c r="C5" s="1">
        <v>325.52999999999997</v>
      </c>
      <c r="D5" s="1">
        <v>2268.16</v>
      </c>
      <c r="E5" s="1">
        <v>25490</v>
      </c>
      <c r="F5" s="1">
        <v>1132</v>
      </c>
      <c r="G5" s="1">
        <v>317.08</v>
      </c>
      <c r="H5" s="1">
        <v>2262.79</v>
      </c>
      <c r="I5" s="1">
        <v>25490</v>
      </c>
      <c r="J5" s="1">
        <v>1132</v>
      </c>
      <c r="K5" s="1">
        <v>354.66</v>
      </c>
      <c r="L5" s="1">
        <v>2413.3200000000002</v>
      </c>
      <c r="M5" s="1">
        <v>25490</v>
      </c>
      <c r="N5" s="1">
        <v>1132</v>
      </c>
      <c r="O5" s="1">
        <v>366.8</v>
      </c>
      <c r="P5" s="1">
        <v>2856.77</v>
      </c>
      <c r="Q5" s="1">
        <v>25490</v>
      </c>
      <c r="R5" s="1">
        <v>1132</v>
      </c>
      <c r="S5" s="1">
        <v>487.44</v>
      </c>
      <c r="T5" s="1">
        <v>3495.81</v>
      </c>
      <c r="U5" s="1">
        <v>25490</v>
      </c>
      <c r="V5" s="1">
        <v>1656</v>
      </c>
      <c r="W5" s="2">
        <f t="shared" si="1"/>
        <v>33.216395864106353</v>
      </c>
      <c r="X5" s="2">
        <f t="shared" si="2"/>
        <v>34.949942557032664</v>
      </c>
      <c r="Y5" s="2">
        <f t="shared" si="3"/>
        <v>27.240275726243222</v>
      </c>
      <c r="Z5" s="2">
        <f t="shared" si="4"/>
        <v>24.749712785163297</v>
      </c>
    </row>
    <row r="6" spans="1:30">
      <c r="A6" s="1">
        <v>16</v>
      </c>
      <c r="B6" s="1">
        <v>8640</v>
      </c>
      <c r="C6" s="1">
        <v>311.12</v>
      </c>
      <c r="D6" s="1">
        <v>961.25</v>
      </c>
      <c r="E6" s="1">
        <v>16638</v>
      </c>
      <c r="F6" s="1">
        <v>844</v>
      </c>
      <c r="G6" s="1">
        <v>304.94</v>
      </c>
      <c r="H6" s="1">
        <v>980.14</v>
      </c>
      <c r="I6" s="1">
        <v>16638</v>
      </c>
      <c r="J6" s="1">
        <v>844</v>
      </c>
      <c r="K6" s="1">
        <v>337.71</v>
      </c>
      <c r="L6" s="1">
        <v>1060.6199999999999</v>
      </c>
      <c r="M6" s="1">
        <v>16638</v>
      </c>
      <c r="N6" s="1">
        <v>844</v>
      </c>
      <c r="O6" s="1">
        <v>350.58</v>
      </c>
      <c r="P6" s="1">
        <v>1038.8499999999999</v>
      </c>
      <c r="Q6" s="1">
        <v>16638</v>
      </c>
      <c r="R6" s="1">
        <v>844</v>
      </c>
      <c r="S6" s="1">
        <v>491.08</v>
      </c>
      <c r="T6" s="1">
        <v>1983.45</v>
      </c>
      <c r="U6" s="1">
        <v>16638</v>
      </c>
      <c r="V6" s="1">
        <v>974</v>
      </c>
      <c r="W6" s="2">
        <f t="shared" si="1"/>
        <v>36.645760364909989</v>
      </c>
      <c r="X6" s="2">
        <f t="shared" si="2"/>
        <v>37.904211126496705</v>
      </c>
      <c r="Y6" s="2">
        <f t="shared" si="3"/>
        <v>31.231163965138062</v>
      </c>
      <c r="Z6" s="2">
        <f t="shared" si="4"/>
        <v>28.610409709212348</v>
      </c>
      <c r="AA6" s="7">
        <f>AVERAGE(W6:W7)</f>
        <v>31.180187808221515</v>
      </c>
      <c r="AB6" s="7">
        <f t="shared" ref="AB6:AD6" si="5">AVERAGE(X6:X7)</f>
        <v>38.964216057087384</v>
      </c>
      <c r="AC6" s="7">
        <f t="shared" si="5"/>
        <v>33.716925670694984</v>
      </c>
      <c r="AD6" s="7">
        <f t="shared" si="5"/>
        <v>22.492283149910001</v>
      </c>
    </row>
    <row r="7" spans="1:30">
      <c r="A7" s="1">
        <v>32</v>
      </c>
      <c r="B7" s="1">
        <v>8640</v>
      </c>
      <c r="C7" s="1">
        <v>386.44</v>
      </c>
      <c r="D7" s="1">
        <v>644.1</v>
      </c>
      <c r="E7" s="1">
        <v>10373</v>
      </c>
      <c r="F7" s="1">
        <v>492</v>
      </c>
      <c r="G7" s="1">
        <v>312</v>
      </c>
      <c r="H7" s="1">
        <v>527.1</v>
      </c>
      <c r="I7" s="1">
        <v>10373</v>
      </c>
      <c r="J7" s="1">
        <v>492</v>
      </c>
      <c r="K7" s="1">
        <v>331.88</v>
      </c>
      <c r="L7" s="1">
        <v>541.21</v>
      </c>
      <c r="M7" s="1">
        <v>10373</v>
      </c>
      <c r="N7" s="1">
        <v>492</v>
      </c>
      <c r="O7" s="1">
        <v>435.03</v>
      </c>
      <c r="P7" s="1">
        <v>659.75</v>
      </c>
      <c r="Q7" s="1">
        <v>10373</v>
      </c>
      <c r="R7" s="1">
        <v>492</v>
      </c>
      <c r="S7" s="1">
        <v>520.21</v>
      </c>
      <c r="T7" s="1">
        <v>791.59</v>
      </c>
      <c r="U7" s="1">
        <v>10373</v>
      </c>
      <c r="V7" s="1">
        <v>518</v>
      </c>
      <c r="W7" s="2">
        <f t="shared" si="1"/>
        <v>25.71461525153304</v>
      </c>
      <c r="X7" s="2">
        <f t="shared" si="2"/>
        <v>40.024220987678056</v>
      </c>
      <c r="Y7" s="2">
        <f t="shared" si="3"/>
        <v>36.202687376251902</v>
      </c>
      <c r="Z7" s="2">
        <f t="shared" si="4"/>
        <v>16.374156590607651</v>
      </c>
    </row>
    <row r="8" spans="1:30">
      <c r="A8" s="1">
        <v>64</v>
      </c>
      <c r="B8" s="1">
        <v>8640</v>
      </c>
      <c r="C8" s="1">
        <v>357.27</v>
      </c>
      <c r="D8" s="1">
        <v>233.66</v>
      </c>
      <c r="E8" s="1">
        <v>6203</v>
      </c>
      <c r="F8" s="1">
        <v>259</v>
      </c>
      <c r="G8" s="1">
        <v>335.74</v>
      </c>
      <c r="H8" s="1">
        <v>224.38</v>
      </c>
      <c r="I8" s="1">
        <v>6203</v>
      </c>
      <c r="J8" s="1">
        <v>259</v>
      </c>
      <c r="K8" s="1">
        <v>329.81</v>
      </c>
      <c r="L8" s="1">
        <v>207.05</v>
      </c>
      <c r="M8" s="1">
        <v>6203</v>
      </c>
      <c r="N8" s="1">
        <v>259</v>
      </c>
      <c r="O8" s="1">
        <v>405.11</v>
      </c>
      <c r="P8" s="1">
        <v>236.32</v>
      </c>
      <c r="Q8" s="1">
        <v>6203</v>
      </c>
      <c r="R8" s="1">
        <v>259</v>
      </c>
      <c r="S8" s="1">
        <v>488.99</v>
      </c>
      <c r="T8" s="1">
        <v>254.55</v>
      </c>
      <c r="U8" s="1">
        <v>6203</v>
      </c>
      <c r="V8" s="1">
        <v>266</v>
      </c>
      <c r="W8" s="2">
        <f t="shared" si="1"/>
        <v>26.937156179062974</v>
      </c>
      <c r="X8" s="2">
        <f t="shared" si="2"/>
        <v>31.340109204687213</v>
      </c>
      <c r="Y8" s="2">
        <f t="shared" si="3"/>
        <v>32.552812940959939</v>
      </c>
      <c r="Z8" s="2">
        <f t="shared" si="4"/>
        <v>17.153725025051635</v>
      </c>
      <c r="AA8" s="7">
        <f>AVERAGE(W8:W10)</f>
        <v>25.979280124248124</v>
      </c>
      <c r="AB8" s="7">
        <f t="shared" ref="AB8:AD8" si="6">AVERAGE(X8:X10)</f>
        <v>32.554911412707895</v>
      </c>
      <c r="AC8" s="7">
        <f t="shared" si="6"/>
        <v>24.354959002649355</v>
      </c>
      <c r="AD8" s="7">
        <f t="shared" si="6"/>
        <v>18.17431388140125</v>
      </c>
    </row>
    <row r="9" spans="1:30">
      <c r="A9" s="1">
        <v>128</v>
      </c>
      <c r="B9" s="1">
        <v>8640</v>
      </c>
      <c r="C9" s="1">
        <v>341.74</v>
      </c>
      <c r="D9" s="1">
        <v>75.31</v>
      </c>
      <c r="E9" s="1">
        <v>3584</v>
      </c>
      <c r="F9" s="1">
        <v>132</v>
      </c>
      <c r="G9" s="1">
        <v>318.12</v>
      </c>
      <c r="H9" s="1">
        <v>70.62</v>
      </c>
      <c r="I9" s="1">
        <v>3584</v>
      </c>
      <c r="J9" s="1">
        <v>132</v>
      </c>
      <c r="K9" s="1">
        <v>364.53</v>
      </c>
      <c r="L9" s="1">
        <v>77.349999999999994</v>
      </c>
      <c r="M9" s="1">
        <v>3584</v>
      </c>
      <c r="N9" s="1">
        <v>132</v>
      </c>
      <c r="O9" s="1">
        <v>373.16</v>
      </c>
      <c r="P9" s="1">
        <v>76.38</v>
      </c>
      <c r="Q9" s="1">
        <v>3584</v>
      </c>
      <c r="R9" s="1">
        <v>132</v>
      </c>
      <c r="S9" s="1">
        <v>444.63</v>
      </c>
      <c r="T9" s="1">
        <v>75.69</v>
      </c>
      <c r="U9" s="1">
        <v>3584</v>
      </c>
      <c r="V9" s="1">
        <v>134</v>
      </c>
      <c r="W9" s="2">
        <f t="shared" si="1"/>
        <v>23.140588804174254</v>
      </c>
      <c r="X9" s="2">
        <f t="shared" si="2"/>
        <v>28.452870926388233</v>
      </c>
      <c r="Y9" s="2">
        <f t="shared" si="3"/>
        <v>18.014978746373394</v>
      </c>
      <c r="Z9" s="2">
        <f t="shared" si="4"/>
        <v>16.074039088680468</v>
      </c>
    </row>
    <row r="10" spans="1:30">
      <c r="A10" s="1">
        <v>256</v>
      </c>
      <c r="B10" s="1">
        <v>8640</v>
      </c>
      <c r="C10" s="1">
        <v>340.32</v>
      </c>
      <c r="D10" s="1">
        <v>28.67</v>
      </c>
      <c r="E10" s="1">
        <v>2071</v>
      </c>
      <c r="F10" s="1">
        <v>67</v>
      </c>
      <c r="G10" s="1">
        <v>293.08999999999997</v>
      </c>
      <c r="H10" s="1">
        <v>26.98</v>
      </c>
      <c r="I10" s="1">
        <v>2071</v>
      </c>
      <c r="J10" s="1">
        <v>67</v>
      </c>
      <c r="K10" s="1">
        <v>365.62</v>
      </c>
      <c r="L10" s="1">
        <v>29.59</v>
      </c>
      <c r="M10" s="1">
        <v>2071</v>
      </c>
      <c r="N10" s="1">
        <v>67</v>
      </c>
      <c r="O10" s="1">
        <v>371.29</v>
      </c>
      <c r="P10" s="1">
        <v>28.76</v>
      </c>
      <c r="Q10" s="1">
        <v>2071</v>
      </c>
      <c r="R10" s="1">
        <v>67</v>
      </c>
      <c r="S10" s="1">
        <v>471.75</v>
      </c>
      <c r="T10" s="1">
        <v>34.43</v>
      </c>
      <c r="U10" s="1">
        <v>2071</v>
      </c>
      <c r="V10" s="1">
        <v>68</v>
      </c>
      <c r="W10" s="2">
        <f t="shared" si="1"/>
        <v>27.860095389507155</v>
      </c>
      <c r="X10" s="2">
        <f t="shared" si="2"/>
        <v>37.871754107048233</v>
      </c>
      <c r="Y10" s="2">
        <f t="shared" si="3"/>
        <v>22.497085320614733</v>
      </c>
      <c r="Z10" s="2">
        <f t="shared" si="4"/>
        <v>21.295177530471644</v>
      </c>
    </row>
  </sheetData>
  <mergeCells count="6">
    <mergeCell ref="W1:Z1"/>
    <mergeCell ref="C1:F1"/>
    <mergeCell ref="G1:J1"/>
    <mergeCell ref="K1:N1"/>
    <mergeCell ref="O1:R1"/>
    <mergeCell ref="S1:V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Đại Dương</cp:lastModifiedBy>
  <dcterms:created xsi:type="dcterms:W3CDTF">2025-03-13T07:24:13Z</dcterms:created>
  <dcterms:modified xsi:type="dcterms:W3CDTF">2025-03-13T09:35:04Z</dcterms:modified>
</cp:coreProperties>
</file>
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duongtran\RCPTV8\Buddy\AlloTime_log_2025_03_13_8640pages\"/>
    </mc:Choice>
  </mc:AlternateContent>
  <xr:revisionPtr revIDLastSave="0" documentId="13_ncr:1_{48EB589C-38A7-4E17-BA9B-9F588DDE948F}" xr6:coauthVersionLast="47" xr6:coauthVersionMax="47" xr10:uidLastSave="{00000000-0000-0000-0000-000000000000}"/>
  <bookViews>
    <workbookView xWindow="61332" yWindow="-108" windowWidth="30936" windowHeight="167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4" i="1" l="1"/>
  <c r="Z5" i="1"/>
  <c r="Z6" i="1"/>
  <c r="Z7" i="1"/>
  <c r="Z8" i="1"/>
  <c r="Z9" i="1"/>
  <c r="Z10" i="1"/>
  <c r="Y4" i="1"/>
  <c r="Y5" i="1"/>
  <c r="Y6" i="1"/>
  <c r="Y7" i="1"/>
  <c r="Y8" i="1"/>
  <c r="Y9" i="1"/>
  <c r="Y10" i="1"/>
  <c r="X4" i="1"/>
  <c r="X5" i="1"/>
  <c r="X6" i="1"/>
  <c r="X7" i="1"/>
  <c r="X8" i="1"/>
  <c r="X9" i="1"/>
  <c r="X10" i="1"/>
  <c r="Z3" i="1"/>
  <c r="Y3" i="1"/>
  <c r="X3" i="1"/>
  <c r="W4" i="1"/>
  <c r="W5" i="1"/>
  <c r="W6" i="1"/>
  <c r="W7" i="1"/>
  <c r="W8" i="1"/>
  <c r="W9" i="1"/>
  <c r="W10" i="1"/>
  <c r="W3" i="1"/>
</calcChain>
</file>

<file path=xl/sharedStrings.xml><?xml version="1.0" encoding="utf-8"?>
<sst xmlns="http://schemas.openxmlformats.org/spreadsheetml/2006/main" count="27" uniqueCount="11">
  <si>
    <t>TRAD</t>
  </si>
  <si>
    <t>NAPOT</t>
  </si>
  <si>
    <t>CAMB</t>
  </si>
  <si>
    <t>RCPT</t>
  </si>
  <si>
    <t>cRCPT</t>
  </si>
  <si>
    <t>BlockSize</t>
  </si>
  <si>
    <t>ReqSize</t>
  </si>
  <si>
    <t>AlloTime</t>
  </si>
  <si>
    <t>DealloTime</t>
  </si>
  <si>
    <t>FreeNodes</t>
  </si>
  <si>
    <t>AlloNodes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</si>
</sst>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TRAD</c:v>
          </c:tx>
          <c:invertIfNegative val="0"/>
          <c:cat>
            <c:numRef>
              <c:f>Sheet1!$A$3:$A$10</c:f>
              <c:numCache>
                <c:formatCode>General</c:formatCode>
                <c:ptCount val="8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  <c:pt idx="6">
                  <c:v>128</c:v>
                </c:pt>
                <c:pt idx="7">
                  <c:v>256</c:v>
                </c:pt>
              </c:numCache>
            </c:numRef>
          </c:cat>
          <c:val>
            <c:numRef>
              <c:f>Sheet1!$C$3:$C$10</c:f>
              <c:numCache>
                <c:formatCode>General</c:formatCode>
                <c:ptCount val="8"/>
                <c:pt idx="0">
                  <c:v>624.79999999999995</c:v>
                </c:pt>
                <c:pt idx="1">
                  <c:v>424.18</c:v>
                </c:pt>
                <c:pt idx="2">
                  <c:v>330.82</c:v>
                </c:pt>
                <c:pt idx="3">
                  <c:v>288</c:v>
                </c:pt>
                <c:pt idx="4">
                  <c:v>263.14</c:v>
                </c:pt>
                <c:pt idx="5">
                  <c:v>241.03</c:v>
                </c:pt>
                <c:pt idx="6">
                  <c:v>227.69</c:v>
                </c:pt>
                <c:pt idx="7">
                  <c:v>225.31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59-4110-8442-EA6BE931355C}"/>
            </c:ext>
          </c:extLst>
        </c:ser>
        <c:ser>
          <c:idx val="1"/>
          <c:order val="1"/>
          <c:tx>
            <c:v>NAPOT</c:v>
          </c:tx>
          <c:invertIfNegative val="0"/>
          <c:cat>
            <c:numRef>
              <c:f>Sheet1!$A$3:$A$10</c:f>
              <c:numCache>
                <c:formatCode>General</c:formatCode>
                <c:ptCount val="8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  <c:pt idx="6">
                  <c:v>128</c:v>
                </c:pt>
                <c:pt idx="7">
                  <c:v>256</c:v>
                </c:pt>
              </c:numCache>
            </c:numRef>
          </c:cat>
          <c:val>
            <c:numRef>
              <c:f>Sheet1!$G$3:$G$10</c:f>
              <c:numCache>
                <c:formatCode>General</c:formatCode>
                <c:ptCount val="8"/>
                <c:pt idx="0">
                  <c:v>640.91999999999996</c:v>
                </c:pt>
                <c:pt idx="1">
                  <c:v>432.54</c:v>
                </c:pt>
                <c:pt idx="2">
                  <c:v>337.8</c:v>
                </c:pt>
                <c:pt idx="3">
                  <c:v>297.48</c:v>
                </c:pt>
                <c:pt idx="4">
                  <c:v>268.31</c:v>
                </c:pt>
                <c:pt idx="5">
                  <c:v>238.98</c:v>
                </c:pt>
                <c:pt idx="6">
                  <c:v>229.52</c:v>
                </c:pt>
                <c:pt idx="7">
                  <c:v>222.87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059-4110-8442-EA6BE931355C}"/>
            </c:ext>
          </c:extLst>
        </c:ser>
        <c:ser>
          <c:idx val="2"/>
          <c:order val="2"/>
          <c:tx>
            <c:v>CAMB</c:v>
          </c:tx>
          <c:invertIfNegative val="0"/>
          <c:cat>
            <c:numRef>
              <c:f>Sheet1!$A$3:$A$10</c:f>
              <c:numCache>
                <c:formatCode>General</c:formatCode>
                <c:ptCount val="8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  <c:pt idx="6">
                  <c:v>128</c:v>
                </c:pt>
                <c:pt idx="7">
                  <c:v>256</c:v>
                </c:pt>
              </c:numCache>
            </c:numRef>
          </c:cat>
          <c:val>
            <c:numRef>
              <c:f>Sheet1!$K$3:$K$10</c:f>
              <c:numCache>
                <c:formatCode>General</c:formatCode>
                <c:ptCount val="8"/>
                <c:pt idx="0">
                  <c:v>648.20000000000005</c:v>
                </c:pt>
                <c:pt idx="1">
                  <c:v>458.55</c:v>
                </c:pt>
                <c:pt idx="2">
                  <c:v>349.78</c:v>
                </c:pt>
                <c:pt idx="3">
                  <c:v>305.99</c:v>
                </c:pt>
                <c:pt idx="4">
                  <c:v>273.7</c:v>
                </c:pt>
                <c:pt idx="5">
                  <c:v>249.82</c:v>
                </c:pt>
                <c:pt idx="6">
                  <c:v>247.26</c:v>
                </c:pt>
                <c:pt idx="7">
                  <c:v>238.83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059-4110-8442-EA6BE931355C}"/>
            </c:ext>
          </c:extLst>
        </c:ser>
        <c:ser>
          <c:idx val="3"/>
          <c:order val="3"/>
          <c:tx>
            <c:v>RCPT</c:v>
          </c:tx>
          <c:invertIfNegative val="0"/>
          <c:cat>
            <c:numRef>
              <c:f>Sheet1!$A$3:$A$10</c:f>
              <c:numCache>
                <c:formatCode>General</c:formatCode>
                <c:ptCount val="8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  <c:pt idx="6">
                  <c:v>128</c:v>
                </c:pt>
                <c:pt idx="7">
                  <c:v>256</c:v>
                </c:pt>
              </c:numCache>
            </c:numRef>
          </c:cat>
          <c:val>
            <c:numRef>
              <c:f>Sheet1!$O$3:$O$10</c:f>
              <c:numCache>
                <c:formatCode>General</c:formatCode>
                <c:ptCount val="8"/>
                <c:pt idx="0">
                  <c:v>672.14</c:v>
                </c:pt>
                <c:pt idx="1">
                  <c:v>471.73</c:v>
                </c:pt>
                <c:pt idx="2">
                  <c:v>374.19</c:v>
                </c:pt>
                <c:pt idx="3">
                  <c:v>324.85000000000002</c:v>
                </c:pt>
                <c:pt idx="4">
                  <c:v>295.69</c:v>
                </c:pt>
                <c:pt idx="5">
                  <c:v>271.99</c:v>
                </c:pt>
                <c:pt idx="6">
                  <c:v>262.54000000000002</c:v>
                </c:pt>
                <c:pt idx="7">
                  <c:v>259.82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059-4110-8442-EA6BE931355C}"/>
            </c:ext>
          </c:extLst>
        </c:ser>
        <c:ser>
          <c:idx val="4"/>
          <c:order val="4"/>
          <c:tx>
            <c:v>cRCPT</c:v>
          </c:tx>
          <c:invertIfNegative val="0"/>
          <c:cat>
            <c:numRef>
              <c:f>Sheet1!$A$3:$A$10</c:f>
              <c:numCache>
                <c:formatCode>General</c:formatCode>
                <c:ptCount val="8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  <c:pt idx="6">
                  <c:v>128</c:v>
                </c:pt>
                <c:pt idx="7">
                  <c:v>256</c:v>
                </c:pt>
              </c:numCache>
            </c:numRef>
          </c:cat>
          <c:val>
            <c:numRef>
              <c:f>Sheet1!$S$3:$S$10</c:f>
              <c:numCache>
                <c:formatCode>General</c:formatCode>
                <c:ptCount val="8"/>
                <c:pt idx="0">
                  <c:v>747.45</c:v>
                </c:pt>
                <c:pt idx="1">
                  <c:v>535.03</c:v>
                </c:pt>
                <c:pt idx="2">
                  <c:v>454.77</c:v>
                </c:pt>
                <c:pt idx="3">
                  <c:v>386.55</c:v>
                </c:pt>
                <c:pt idx="4">
                  <c:v>345.6</c:v>
                </c:pt>
                <c:pt idx="5">
                  <c:v>324.08</c:v>
                </c:pt>
                <c:pt idx="6">
                  <c:v>311.36</c:v>
                </c:pt>
                <c:pt idx="7">
                  <c:v>305.89999999999998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059-4110-8442-EA6BE93135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aseline="0">
                    <a:latin typeface="Times New Roman"/>
                  </a:defRPr>
                </a:pPr>
                <a:r>
                  <a:rPr lang="en-US" sz="1200" baseline="0">
                    <a:latin typeface="Times New Roman"/>
                  </a:rPr>
                  <a:t>Block size (pages)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>
            <a:solidFill>
              <a:srgbClr val="000000"/>
            </a:solidFill>
          </a:ln>
        </c:spPr>
        <c:txPr>
          <a:bodyPr/>
          <a:lstStyle/>
          <a:p>
            <a:pPr>
              <a:defRPr sz="1200" baseline="0">
                <a:latin typeface="Times New Roman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aseline="0">
                    <a:latin typeface="Times New Roman"/>
                  </a:defRPr>
                </a:pPr>
                <a:r>
                  <a:rPr lang="en-US" sz="1200" baseline="0">
                    <a:latin typeface="Times New Roman"/>
                  </a:rPr>
                  <a:t>Allocation time (us)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1200" baseline="0">
                <a:latin typeface="Times New Roman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t"/>
      <c:overlay val="0"/>
      <c:txPr>
        <a:bodyPr/>
        <a:lstStyle/>
        <a:p>
          <a:pPr>
            <a:defRPr sz="1200" baseline="0">
              <a:latin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15</xdr:row>
      <xdr:rowOff>0</xdr:rowOff>
    </xdr:from>
    <xdr:to>
      <xdr:col>8</xdr:col>
      <xdr:colOff>304800</xdr:colOff>
      <xdr:row>29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"/>
  <sheetViews>
    <sheetView tabSelected="1" workbookViewId="0">
      <selection activeCell="O21" sqref="O21"/>
    </sheetView>
  </sheetViews>
  <sheetFormatPr defaultRowHeight="17.399999999999999"/>
  <sheetData>
    <row r="1" spans="1:26">
      <c r="C1" s="2" t="s">
        <v>0</v>
      </c>
      <c r="D1" s="2"/>
      <c r="E1" s="2"/>
      <c r="F1" s="2"/>
      <c r="G1" s="2" t="s">
        <v>1</v>
      </c>
      <c r="H1" s="2"/>
      <c r="I1" s="2"/>
      <c r="J1" s="2"/>
      <c r="K1" s="2" t="s">
        <v>2</v>
      </c>
      <c r="L1" s="2"/>
      <c r="M1" s="2"/>
      <c r="N1" s="2"/>
      <c r="O1" s="2" t="s">
        <v>3</v>
      </c>
      <c r="P1" s="2"/>
      <c r="Q1" s="2"/>
      <c r="R1" s="2"/>
      <c r="S1" s="2" t="s">
        <v>4</v>
      </c>
      <c r="T1" s="2"/>
      <c r="U1" s="2"/>
      <c r="V1" s="2"/>
    </row>
    <row r="2" spans="1:26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 t="s">
        <v>7</v>
      </c>
      <c r="H2" t="s">
        <v>8</v>
      </c>
      <c r="I2" t="s">
        <v>9</v>
      </c>
      <c r="J2" t="s">
        <v>10</v>
      </c>
      <c r="K2" t="s">
        <v>7</v>
      </c>
      <c r="L2" t="s">
        <v>8</v>
      </c>
      <c r="M2" t="s">
        <v>9</v>
      </c>
      <c r="N2" t="s">
        <v>10</v>
      </c>
      <c r="O2" t="s">
        <v>7</v>
      </c>
      <c r="P2" t="s">
        <v>8</v>
      </c>
      <c r="Q2" t="s">
        <v>9</v>
      </c>
      <c r="R2" t="s">
        <v>10</v>
      </c>
      <c r="S2" t="s">
        <v>7</v>
      </c>
      <c r="T2" t="s">
        <v>8</v>
      </c>
      <c r="U2" t="s">
        <v>9</v>
      </c>
      <c r="V2" t="s">
        <v>10</v>
      </c>
    </row>
    <row r="3" spans="1:26">
      <c r="A3">
        <v>2</v>
      </c>
      <c r="B3">
        <v>8640</v>
      </c>
      <c r="C3">
        <v>624.79999999999995</v>
      </c>
      <c r="D3">
        <v>65527.8</v>
      </c>
      <c r="E3">
        <v>49026</v>
      </c>
      <c r="F3">
        <v>4320</v>
      </c>
      <c r="G3">
        <v>640.91999999999996</v>
      </c>
      <c r="H3">
        <v>65790.899999999994</v>
      </c>
      <c r="I3">
        <v>49026</v>
      </c>
      <c r="J3">
        <v>4320</v>
      </c>
      <c r="K3">
        <v>648.20000000000005</v>
      </c>
      <c r="L3">
        <v>65506</v>
      </c>
      <c r="M3">
        <v>49026</v>
      </c>
      <c r="N3">
        <v>4320</v>
      </c>
      <c r="O3">
        <v>672.14</v>
      </c>
      <c r="P3">
        <v>65562.3</v>
      </c>
      <c r="Q3">
        <v>49026</v>
      </c>
      <c r="R3">
        <v>4320</v>
      </c>
      <c r="S3">
        <v>747.45</v>
      </c>
      <c r="T3">
        <v>65571.5</v>
      </c>
      <c r="U3">
        <v>49026</v>
      </c>
      <c r="V3">
        <v>4320</v>
      </c>
      <c r="W3" s="1">
        <f>100*(S3-C3)/S3</f>
        <v>16.409124356144236</v>
      </c>
      <c r="X3" s="1">
        <f>100*(S3-G3)/S3</f>
        <v>14.252458358418634</v>
      </c>
      <c r="Y3" s="1">
        <f>100*(S3-K3)/S3</f>
        <v>13.278480165897383</v>
      </c>
      <c r="Z3" s="1">
        <f>100*(S3-O3)/S3</f>
        <v>10.07559034049101</v>
      </c>
    </row>
    <row r="4" spans="1:26">
      <c r="A4">
        <v>4</v>
      </c>
      <c r="B4">
        <v>8640</v>
      </c>
      <c r="C4">
        <v>424.18</v>
      </c>
      <c r="D4">
        <v>16329.3</v>
      </c>
      <c r="E4">
        <v>36739</v>
      </c>
      <c r="F4">
        <v>2160</v>
      </c>
      <c r="G4">
        <v>432.54</v>
      </c>
      <c r="H4">
        <v>16353.1</v>
      </c>
      <c r="I4">
        <v>36739</v>
      </c>
      <c r="J4">
        <v>2160</v>
      </c>
      <c r="K4">
        <v>458.55</v>
      </c>
      <c r="L4">
        <v>16328.4</v>
      </c>
      <c r="M4">
        <v>36739</v>
      </c>
      <c r="N4">
        <v>2160</v>
      </c>
      <c r="O4">
        <v>471.73</v>
      </c>
      <c r="P4">
        <v>16290.1</v>
      </c>
      <c r="Q4">
        <v>36739</v>
      </c>
      <c r="R4">
        <v>2160</v>
      </c>
      <c r="S4">
        <v>535.03</v>
      </c>
      <c r="T4">
        <v>15300.5</v>
      </c>
      <c r="U4">
        <v>36739</v>
      </c>
      <c r="V4">
        <v>2237</v>
      </c>
      <c r="W4" s="1">
        <f t="shared" ref="W4:W10" si="0">100*(S4-C4)/S4</f>
        <v>20.718464385174656</v>
      </c>
      <c r="X4" s="1">
        <f t="shared" ref="X4:X10" si="1">100*(S4-G4)/S4</f>
        <v>19.155935181204782</v>
      </c>
      <c r="Y4" s="1">
        <f t="shared" ref="Y4:Y10" si="2">100*(S4-K4)/S4</f>
        <v>14.294525540623884</v>
      </c>
      <c r="Z4" s="1">
        <f t="shared" ref="Z4:Z10" si="3">100*(S4-O4)/S4</f>
        <v>11.83111227407808</v>
      </c>
    </row>
    <row r="5" spans="1:26">
      <c r="A5">
        <v>8</v>
      </c>
      <c r="B5">
        <v>8640</v>
      </c>
      <c r="C5">
        <v>330.82</v>
      </c>
      <c r="D5">
        <v>3550.78</v>
      </c>
      <c r="E5">
        <v>25490</v>
      </c>
      <c r="F5">
        <v>1132</v>
      </c>
      <c r="G5">
        <v>337.8</v>
      </c>
      <c r="H5">
        <v>3568.85</v>
      </c>
      <c r="I5">
        <v>25490</v>
      </c>
      <c r="J5">
        <v>1132</v>
      </c>
      <c r="K5">
        <v>349.78</v>
      </c>
      <c r="L5">
        <v>3541.28</v>
      </c>
      <c r="M5">
        <v>25490</v>
      </c>
      <c r="N5">
        <v>1132</v>
      </c>
      <c r="O5">
        <v>374.19</v>
      </c>
      <c r="P5">
        <v>3577.53</v>
      </c>
      <c r="Q5">
        <v>25490</v>
      </c>
      <c r="R5">
        <v>1132</v>
      </c>
      <c r="S5">
        <v>454.77</v>
      </c>
      <c r="T5">
        <v>5204.72</v>
      </c>
      <c r="U5">
        <v>25490</v>
      </c>
      <c r="V5">
        <v>1656</v>
      </c>
      <c r="W5" s="1">
        <f t="shared" si="0"/>
        <v>27.255535765331924</v>
      </c>
      <c r="X5" s="1">
        <f t="shared" si="1"/>
        <v>25.720693977175269</v>
      </c>
      <c r="Y5" s="1">
        <f t="shared" si="2"/>
        <v>23.086395320711571</v>
      </c>
      <c r="Z5" s="1">
        <f t="shared" si="3"/>
        <v>17.718846889636517</v>
      </c>
    </row>
    <row r="6" spans="1:26">
      <c r="A6">
        <v>16</v>
      </c>
      <c r="B6">
        <v>8640</v>
      </c>
      <c r="C6">
        <v>288</v>
      </c>
      <c r="D6">
        <v>1229.82</v>
      </c>
      <c r="E6">
        <v>16638</v>
      </c>
      <c r="F6">
        <v>844</v>
      </c>
      <c r="G6">
        <v>297.48</v>
      </c>
      <c r="H6">
        <v>1240.75</v>
      </c>
      <c r="I6">
        <v>16638</v>
      </c>
      <c r="J6">
        <v>844</v>
      </c>
      <c r="K6">
        <v>305.99</v>
      </c>
      <c r="L6">
        <v>1233.1600000000001</v>
      </c>
      <c r="M6">
        <v>16638</v>
      </c>
      <c r="N6">
        <v>844</v>
      </c>
      <c r="O6">
        <v>324.85000000000002</v>
      </c>
      <c r="P6">
        <v>1229.19</v>
      </c>
      <c r="Q6">
        <v>16638</v>
      </c>
      <c r="R6">
        <v>844</v>
      </c>
      <c r="S6">
        <v>386.55</v>
      </c>
      <c r="T6">
        <v>2499.75</v>
      </c>
      <c r="U6">
        <v>16638</v>
      </c>
      <c r="V6">
        <v>974</v>
      </c>
      <c r="W6" s="1">
        <f t="shared" si="0"/>
        <v>25.494761350407455</v>
      </c>
      <c r="X6" s="1">
        <f t="shared" si="1"/>
        <v>23.042297244858361</v>
      </c>
      <c r="Y6" s="1">
        <f t="shared" si="2"/>
        <v>20.840770922261026</v>
      </c>
      <c r="Z6" s="1">
        <f t="shared" si="3"/>
        <v>15.961712585693956</v>
      </c>
    </row>
    <row r="7" spans="1:26">
      <c r="A7">
        <v>32</v>
      </c>
      <c r="B7">
        <v>8640</v>
      </c>
      <c r="C7">
        <v>263.14</v>
      </c>
      <c r="D7">
        <v>550.30999999999995</v>
      </c>
      <c r="E7">
        <v>10373</v>
      </c>
      <c r="F7">
        <v>492</v>
      </c>
      <c r="G7">
        <v>268.31</v>
      </c>
      <c r="H7">
        <v>553.44000000000005</v>
      </c>
      <c r="I7">
        <v>10373</v>
      </c>
      <c r="J7">
        <v>492</v>
      </c>
      <c r="K7">
        <v>273.7</v>
      </c>
      <c r="L7">
        <v>544.38</v>
      </c>
      <c r="M7">
        <v>10373</v>
      </c>
      <c r="N7">
        <v>492</v>
      </c>
      <c r="O7">
        <v>295.69</v>
      </c>
      <c r="P7">
        <v>541.89</v>
      </c>
      <c r="Q7">
        <v>10373</v>
      </c>
      <c r="R7">
        <v>492</v>
      </c>
      <c r="S7">
        <v>345.6</v>
      </c>
      <c r="T7">
        <v>672.75</v>
      </c>
      <c r="U7">
        <v>10373</v>
      </c>
      <c r="V7">
        <v>518</v>
      </c>
      <c r="W7" s="1">
        <f t="shared" si="0"/>
        <v>23.859953703703713</v>
      </c>
      <c r="X7" s="1">
        <f t="shared" si="1"/>
        <v>22.364004629629633</v>
      </c>
      <c r="Y7" s="1">
        <f t="shared" si="2"/>
        <v>20.804398148148156</v>
      </c>
      <c r="Z7" s="1">
        <f t="shared" si="3"/>
        <v>14.441550925925933</v>
      </c>
    </row>
    <row r="8" spans="1:26">
      <c r="A8">
        <v>64</v>
      </c>
      <c r="B8">
        <v>8640</v>
      </c>
      <c r="C8">
        <v>241.03</v>
      </c>
      <c r="D8">
        <v>176.42</v>
      </c>
      <c r="E8">
        <v>6203</v>
      </c>
      <c r="F8">
        <v>259</v>
      </c>
      <c r="G8">
        <v>238.98</v>
      </c>
      <c r="H8">
        <v>174.62</v>
      </c>
      <c r="I8">
        <v>6203</v>
      </c>
      <c r="J8">
        <v>259</v>
      </c>
      <c r="K8">
        <v>249.82</v>
      </c>
      <c r="L8">
        <v>174.33</v>
      </c>
      <c r="M8">
        <v>6203</v>
      </c>
      <c r="N8">
        <v>259</v>
      </c>
      <c r="O8">
        <v>271.99</v>
      </c>
      <c r="P8">
        <v>176.02</v>
      </c>
      <c r="Q8">
        <v>6203</v>
      </c>
      <c r="R8">
        <v>259</v>
      </c>
      <c r="S8">
        <v>324.08</v>
      </c>
      <c r="T8">
        <v>195.58</v>
      </c>
      <c r="U8">
        <v>6203</v>
      </c>
      <c r="V8">
        <v>266</v>
      </c>
      <c r="W8" s="1">
        <f t="shared" si="0"/>
        <v>25.626388546038012</v>
      </c>
      <c r="X8" s="1">
        <f t="shared" si="1"/>
        <v>26.258948407800546</v>
      </c>
      <c r="Y8" s="1">
        <f t="shared" si="2"/>
        <v>22.914095285114787</v>
      </c>
      <c r="Z8" s="1">
        <f t="shared" si="3"/>
        <v>16.073191804492708</v>
      </c>
    </row>
    <row r="9" spans="1:26">
      <c r="A9">
        <v>128</v>
      </c>
      <c r="B9">
        <v>8640</v>
      </c>
      <c r="C9">
        <v>227.69</v>
      </c>
      <c r="D9">
        <v>53.88</v>
      </c>
      <c r="E9">
        <v>3584</v>
      </c>
      <c r="F9">
        <v>132</v>
      </c>
      <c r="G9">
        <v>229.52</v>
      </c>
      <c r="H9">
        <v>54.1</v>
      </c>
      <c r="I9">
        <v>3584</v>
      </c>
      <c r="J9">
        <v>132</v>
      </c>
      <c r="K9">
        <v>247.26</v>
      </c>
      <c r="L9">
        <v>54.58</v>
      </c>
      <c r="M9">
        <v>3584</v>
      </c>
      <c r="N9">
        <v>132</v>
      </c>
      <c r="O9">
        <v>262.54000000000002</v>
      </c>
      <c r="P9">
        <v>53.97</v>
      </c>
      <c r="Q9">
        <v>3584</v>
      </c>
      <c r="R9">
        <v>132</v>
      </c>
      <c r="S9">
        <v>311.36</v>
      </c>
      <c r="T9">
        <v>57.03</v>
      </c>
      <c r="U9">
        <v>3584</v>
      </c>
      <c r="V9">
        <v>134</v>
      </c>
      <c r="W9" s="1">
        <f t="shared" si="0"/>
        <v>26.872430626927034</v>
      </c>
      <c r="X9" s="1">
        <f t="shared" si="1"/>
        <v>26.284686536485097</v>
      </c>
      <c r="Y9" s="1">
        <f t="shared" si="2"/>
        <v>20.587101747173694</v>
      </c>
      <c r="Z9" s="1">
        <f t="shared" si="3"/>
        <v>15.679599177800613</v>
      </c>
    </row>
    <row r="10" spans="1:26">
      <c r="A10">
        <v>256</v>
      </c>
      <c r="B10">
        <v>8640</v>
      </c>
      <c r="C10">
        <v>225.31</v>
      </c>
      <c r="D10">
        <v>18.350000000000001</v>
      </c>
      <c r="E10">
        <v>2071</v>
      </c>
      <c r="F10">
        <v>67</v>
      </c>
      <c r="G10">
        <v>222.87</v>
      </c>
      <c r="H10">
        <v>18.64</v>
      </c>
      <c r="I10">
        <v>2071</v>
      </c>
      <c r="J10">
        <v>67</v>
      </c>
      <c r="K10">
        <v>238.83</v>
      </c>
      <c r="L10">
        <v>18.989999999999998</v>
      </c>
      <c r="M10">
        <v>2071</v>
      </c>
      <c r="N10">
        <v>67</v>
      </c>
      <c r="O10">
        <v>259.82</v>
      </c>
      <c r="P10">
        <v>18.7</v>
      </c>
      <c r="Q10">
        <v>2071</v>
      </c>
      <c r="R10">
        <v>67</v>
      </c>
      <c r="S10">
        <v>305.89999999999998</v>
      </c>
      <c r="T10">
        <v>19.2</v>
      </c>
      <c r="U10">
        <v>2071</v>
      </c>
      <c r="V10">
        <v>68</v>
      </c>
      <c r="W10" s="1">
        <f t="shared" si="0"/>
        <v>26.345210853219999</v>
      </c>
      <c r="X10" s="1">
        <f t="shared" si="1"/>
        <v>27.142857142857132</v>
      </c>
      <c r="Y10" s="1">
        <f t="shared" si="2"/>
        <v>21.925465838509307</v>
      </c>
      <c r="Z10" s="1">
        <f t="shared" si="3"/>
        <v>15.063746322327553</v>
      </c>
    </row>
  </sheetData>
  <mergeCells count="5">
    <mergeCell ref="C1:F1"/>
    <mergeCell ref="G1:J1"/>
    <mergeCell ref="K1:N1"/>
    <mergeCell ref="O1:R1"/>
    <mergeCell ref="S1:V1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Trần Đại Dương</cp:lastModifiedBy>
  <dcterms:created xsi:type="dcterms:W3CDTF">2025-03-14T05:00:18Z</dcterms:created>
  <dcterms:modified xsi:type="dcterms:W3CDTF">2025-03-14T05:40:44Z</dcterms:modified>
</cp:coreProperties>
</file>
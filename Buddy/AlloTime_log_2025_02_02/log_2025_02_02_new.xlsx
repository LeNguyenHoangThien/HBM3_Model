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uongtran\RCPTV8\Buddy\AlloTime_log_2025_02_02\"/>
    </mc:Choice>
  </mc:AlternateContent>
  <xr:revisionPtr revIDLastSave="0" documentId="13_ncr:1_{E14FD4CF-3BF6-4D2E-A6D7-6FE2E7814D23}" xr6:coauthVersionLast="47" xr6:coauthVersionMax="47" xr10:uidLastSave="{00000000-0000-0000-0000-000000000000}"/>
  <bookViews>
    <workbookView xWindow="61332" yWindow="-108" windowWidth="30936" windowHeight="16776" xr2:uid="{4E2F4662-12D8-4B2F-9199-ECC42E7035E5}"/>
  </bookViews>
  <sheets>
    <sheet name="log_2025_02_02_new" sheetId="1" r:id="rId1"/>
  </sheets>
  <definedNames>
    <definedName name="_xlnm._FilterDatabase" localSheetId="0" hidden="1">log_2025_02_02_new!$A$2:$E$10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  <c r="V4" i="1"/>
  <c r="V5" i="1"/>
  <c r="V6" i="1"/>
  <c r="V7" i="1"/>
  <c r="V8" i="1"/>
  <c r="V9" i="1"/>
  <c r="V10" i="1"/>
  <c r="V3" i="1"/>
</calcChain>
</file>

<file path=xl/sharedStrings.xml><?xml version="1.0" encoding="utf-8"?>
<sst xmlns="http://schemas.openxmlformats.org/spreadsheetml/2006/main" count="31" uniqueCount="15">
  <si>
    <t>TRAD</t>
  </si>
  <si>
    <t>NAPOT</t>
  </si>
  <si>
    <t>CAMB</t>
  </si>
  <si>
    <t>RCPT</t>
  </si>
  <si>
    <t>cRCPT</t>
  </si>
  <si>
    <t>Size</t>
    <phoneticPr fontId="18" type="noConversion"/>
  </si>
  <si>
    <t>Allo</t>
    <phoneticPr fontId="18" type="noConversion"/>
  </si>
  <si>
    <t>DeAllo</t>
    <phoneticPr fontId="18" type="noConversion"/>
  </si>
  <si>
    <t>FreeNode</t>
    <phoneticPr fontId="18" type="noConversion"/>
  </si>
  <si>
    <t>AlloNode</t>
    <phoneticPr fontId="18" type="noConversion"/>
  </si>
  <si>
    <t>TRAD</t>
    <phoneticPr fontId="18" type="noConversion"/>
  </si>
  <si>
    <t>NAPOT</t>
    <phoneticPr fontId="18" type="noConversion"/>
  </si>
  <si>
    <t>CAMB</t>
    <phoneticPr fontId="18" type="noConversion"/>
  </si>
  <si>
    <t>RCPT</t>
    <phoneticPr fontId="18" type="noConversion"/>
  </si>
  <si>
    <t>Compare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</si>
</sst>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2" fontId="0" fillId="0" borderId="10" xfId="0" applyNumberFormat="1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log_2025_02_02_new!$A$3:$A$10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log_2025_02_02_new!$B$3:$B$10</c:f>
              <c:numCache>
                <c:formatCode>General</c:formatCode>
                <c:ptCount val="8"/>
                <c:pt idx="0">
                  <c:v>567.61</c:v>
                </c:pt>
                <c:pt idx="1">
                  <c:v>391.75</c:v>
                </c:pt>
                <c:pt idx="2">
                  <c:v>309.79000000000002</c:v>
                </c:pt>
                <c:pt idx="3">
                  <c:v>290.83</c:v>
                </c:pt>
                <c:pt idx="4">
                  <c:v>363.34</c:v>
                </c:pt>
                <c:pt idx="5">
                  <c:v>316.02</c:v>
                </c:pt>
                <c:pt idx="6">
                  <c:v>325.83999999999997</c:v>
                </c:pt>
                <c:pt idx="7">
                  <c:v>312.01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5-4E3D-9AC7-9667547832F9}"/>
            </c:ext>
          </c:extLst>
        </c:ser>
        <c:ser>
          <c:idx val="1"/>
          <c:order val="1"/>
          <c:tx>
            <c:v>NAPOT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log_2025_02_02_new!$A$3:$A$10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log_2025_02_02_new!$F$3:$F$10</c:f>
              <c:numCache>
                <c:formatCode>General</c:formatCode>
                <c:ptCount val="8"/>
                <c:pt idx="0">
                  <c:v>576.29</c:v>
                </c:pt>
                <c:pt idx="1">
                  <c:v>396.83</c:v>
                </c:pt>
                <c:pt idx="2">
                  <c:v>310.29000000000002</c:v>
                </c:pt>
                <c:pt idx="3">
                  <c:v>294.95</c:v>
                </c:pt>
                <c:pt idx="4">
                  <c:v>271.13</c:v>
                </c:pt>
                <c:pt idx="5">
                  <c:v>274.92</c:v>
                </c:pt>
                <c:pt idx="6">
                  <c:v>316.17</c:v>
                </c:pt>
                <c:pt idx="7">
                  <c:v>312.7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5-4E3D-9AC7-9667547832F9}"/>
            </c:ext>
          </c:extLst>
        </c:ser>
        <c:ser>
          <c:idx val="2"/>
          <c:order val="2"/>
          <c:tx>
            <c:v>CAMB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log_2025_02_02_new!$A$3:$A$10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log_2025_02_02_new!$J$3:$J$10</c:f>
              <c:numCache>
                <c:formatCode>General</c:formatCode>
                <c:ptCount val="8"/>
                <c:pt idx="0">
                  <c:v>602.27</c:v>
                </c:pt>
                <c:pt idx="1">
                  <c:v>421.47</c:v>
                </c:pt>
                <c:pt idx="2">
                  <c:v>332.34</c:v>
                </c:pt>
                <c:pt idx="3">
                  <c:v>317.08999999999997</c:v>
                </c:pt>
                <c:pt idx="4">
                  <c:v>354.02</c:v>
                </c:pt>
                <c:pt idx="5">
                  <c:v>318.94</c:v>
                </c:pt>
                <c:pt idx="6">
                  <c:v>321.97000000000003</c:v>
                </c:pt>
                <c:pt idx="7">
                  <c:v>307.64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85-4E3D-9AC7-9667547832F9}"/>
            </c:ext>
          </c:extLst>
        </c:ser>
        <c:ser>
          <c:idx val="3"/>
          <c:order val="3"/>
          <c:tx>
            <c:v>RCPT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log_2025_02_02_new!$A$3:$A$10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log_2025_02_02_new!$N$3:$N$10</c:f>
              <c:numCache>
                <c:formatCode>General</c:formatCode>
                <c:ptCount val="8"/>
                <c:pt idx="0">
                  <c:v>611.28</c:v>
                </c:pt>
                <c:pt idx="1">
                  <c:v>435.76</c:v>
                </c:pt>
                <c:pt idx="2">
                  <c:v>350.15</c:v>
                </c:pt>
                <c:pt idx="3">
                  <c:v>334.95</c:v>
                </c:pt>
                <c:pt idx="4">
                  <c:v>366.51</c:v>
                </c:pt>
                <c:pt idx="5">
                  <c:v>388.93</c:v>
                </c:pt>
                <c:pt idx="6">
                  <c:v>376.09</c:v>
                </c:pt>
                <c:pt idx="7">
                  <c:v>359.57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85-4E3D-9AC7-9667547832F9}"/>
            </c:ext>
          </c:extLst>
        </c:ser>
        <c:ser>
          <c:idx val="4"/>
          <c:order val="4"/>
          <c:tx>
            <c:v>cRCPT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log_2025_02_02_new!$A$3:$A$10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log_2025_02_02_new!$R$3:$R$10</c:f>
              <c:numCache>
                <c:formatCode>General</c:formatCode>
                <c:ptCount val="8"/>
                <c:pt idx="0">
                  <c:v>688.09</c:v>
                </c:pt>
                <c:pt idx="1">
                  <c:v>507.65</c:v>
                </c:pt>
                <c:pt idx="2">
                  <c:v>420.95</c:v>
                </c:pt>
                <c:pt idx="3">
                  <c:v>403.13</c:v>
                </c:pt>
                <c:pt idx="4">
                  <c:v>380.11</c:v>
                </c:pt>
                <c:pt idx="5">
                  <c:v>466.59</c:v>
                </c:pt>
                <c:pt idx="6">
                  <c:v>451.87</c:v>
                </c:pt>
                <c:pt idx="7">
                  <c:v>456.94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85-4E3D-9AC7-966754783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183840"/>
        <c:axId val="383180960"/>
      </c:barChart>
      <c:catAx>
        <c:axId val="38318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b="1"/>
                  <a:t>Block size (pages)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383180960"/>
        <c:crosses val="autoZero"/>
        <c:auto val="1"/>
        <c:lblAlgn val="ctr"/>
        <c:lblOffset val="100"/>
        <c:noMultiLvlLbl val="0"/>
      </c:catAx>
      <c:valAx>
        <c:axId val="38318096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b="1"/>
                  <a:t>Allocation time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3831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560070</xdr:colOff>
      <xdr:row>11</xdr:row>
      <xdr:rowOff>137160</xdr:rowOff>
    </xdr:from>
    <xdr:to>
      <xdr:col>15</xdr:col>
      <xdr:colOff>438150</xdr:colOff>
      <xdr:row>24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E83DC7-0496-E21A-AF96-CC6CAEB4C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9970-8D14-490C-8504-7D5875947673}">
  <dimension ref="A1:Y10"/>
  <sheetViews>
    <sheetView tabSelected="1" workbookViewId="0">
      <selection activeCell="P33" sqref="P33"/>
    </sheetView>
  </sheetViews>
  <sheetFormatPr defaultRowHeight="17.399999999999999"/>
  <cols>
    <col min="1" max="1" width="9.69921875" customWidth="1"/>
  </cols>
  <sheetData>
    <row r="1" spans="1:25">
      <c r="A1" s="1"/>
      <c r="B1" s="4" t="s">
        <v>0</v>
      </c>
      <c r="C1" s="4"/>
      <c r="D1" s="4"/>
      <c r="E1" s="4"/>
      <c r="F1" s="4" t="s">
        <v>1</v>
      </c>
      <c r="G1" s="4"/>
      <c r="H1" s="4"/>
      <c r="I1" s="4"/>
      <c r="J1" s="4" t="s">
        <v>2</v>
      </c>
      <c r="K1" s="4"/>
      <c r="L1" s="4"/>
      <c r="M1" s="4"/>
      <c r="N1" s="4" t="s">
        <v>3</v>
      </c>
      <c r="O1" s="4"/>
      <c r="P1" s="4"/>
      <c r="Q1" s="4"/>
      <c r="R1" s="4" t="s">
        <v>4</v>
      </c>
      <c r="S1" s="4"/>
      <c r="T1" s="4"/>
      <c r="U1" s="4"/>
      <c r="V1" s="4" t="s">
        <v>14</v>
      </c>
      <c r="W1" s="4"/>
      <c r="X1" s="4"/>
      <c r="Y1" s="4"/>
    </row>
    <row r="2" spans="1: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</row>
    <row r="3" spans="1:25">
      <c r="A3" s="1">
        <v>2</v>
      </c>
      <c r="B3" s="1">
        <v>567.61</v>
      </c>
      <c r="C3" s="1">
        <v>37060.400000000001</v>
      </c>
      <c r="D3" s="1">
        <v>49026</v>
      </c>
      <c r="E3" s="1">
        <v>4320</v>
      </c>
      <c r="F3" s="1">
        <v>576.29</v>
      </c>
      <c r="G3" s="1">
        <v>37056.400000000001</v>
      </c>
      <c r="H3" s="1">
        <v>49026</v>
      </c>
      <c r="I3" s="1">
        <v>4320</v>
      </c>
      <c r="J3" s="1">
        <v>602.27</v>
      </c>
      <c r="K3" s="1">
        <v>37035.4</v>
      </c>
      <c r="L3" s="1">
        <v>49026</v>
      </c>
      <c r="M3" s="1">
        <v>4320</v>
      </c>
      <c r="N3" s="1">
        <v>611.28</v>
      </c>
      <c r="O3" s="1">
        <v>36983.4</v>
      </c>
      <c r="P3" s="1">
        <v>49026</v>
      </c>
      <c r="Q3" s="1">
        <v>4320</v>
      </c>
      <c r="R3" s="1">
        <v>688.09</v>
      </c>
      <c r="S3" s="1">
        <v>37100.9</v>
      </c>
      <c r="T3" s="1">
        <v>49026</v>
      </c>
      <c r="U3" s="1">
        <v>4320</v>
      </c>
      <c r="V3" s="3">
        <f>100*(R3-B3)/R3</f>
        <v>17.509337441323083</v>
      </c>
      <c r="W3" s="3">
        <f>100*(R3-F3)/R3</f>
        <v>16.247874551294171</v>
      </c>
      <c r="X3" s="3">
        <f>100*(R3-J3)/R3</f>
        <v>12.472205670769819</v>
      </c>
      <c r="Y3" s="3">
        <f>100*(R3-N3)/R3</f>
        <v>11.162783938147633</v>
      </c>
    </row>
    <row r="4" spans="1:25">
      <c r="A4" s="1">
        <v>4</v>
      </c>
      <c r="B4" s="1">
        <v>391.75</v>
      </c>
      <c r="C4" s="1">
        <v>9493.67</v>
      </c>
      <c r="D4" s="1">
        <v>36739</v>
      </c>
      <c r="E4" s="1">
        <v>2160</v>
      </c>
      <c r="F4" s="1">
        <v>396.83</v>
      </c>
      <c r="G4" s="1">
        <v>9554.35</v>
      </c>
      <c r="H4" s="1">
        <v>36739</v>
      </c>
      <c r="I4" s="1">
        <v>2160</v>
      </c>
      <c r="J4" s="1">
        <v>421.47</v>
      </c>
      <c r="K4" s="1">
        <v>9519.0499999999993</v>
      </c>
      <c r="L4" s="1">
        <v>36739</v>
      </c>
      <c r="M4" s="1">
        <v>2160</v>
      </c>
      <c r="N4" s="1">
        <v>435.76</v>
      </c>
      <c r="O4" s="1">
        <v>9540.65</v>
      </c>
      <c r="P4" s="1">
        <v>36739</v>
      </c>
      <c r="Q4" s="1">
        <v>2160</v>
      </c>
      <c r="R4" s="1">
        <v>507.65</v>
      </c>
      <c r="S4" s="1">
        <v>9519.16</v>
      </c>
      <c r="T4" s="1">
        <v>36739</v>
      </c>
      <c r="U4" s="1">
        <v>2160</v>
      </c>
      <c r="V4" s="3">
        <f t="shared" ref="V4:V10" si="0">100*(R4-B4)/R4</f>
        <v>22.830690436324236</v>
      </c>
      <c r="W4" s="3">
        <f t="shared" ref="W4:W10" si="1">100*(R4-F4)/R4</f>
        <v>21.830000984930564</v>
      </c>
      <c r="X4" s="3">
        <f t="shared" ref="X4:X10" si="2">100*(R4-J4)/R4</f>
        <v>16.976263173446263</v>
      </c>
      <c r="Y4" s="3">
        <f t="shared" ref="Y4:Y10" si="3">100*(R4-N4)/R4</f>
        <v>14.161331626120356</v>
      </c>
    </row>
    <row r="5" spans="1:25">
      <c r="A5" s="1">
        <v>8</v>
      </c>
      <c r="B5" s="1">
        <v>309.79000000000002</v>
      </c>
      <c r="C5" s="1">
        <v>2247.12</v>
      </c>
      <c r="D5" s="1">
        <v>25490</v>
      </c>
      <c r="E5" s="1">
        <v>1132</v>
      </c>
      <c r="F5" s="1">
        <v>310.29000000000002</v>
      </c>
      <c r="G5" s="1">
        <v>2247.3200000000002</v>
      </c>
      <c r="H5" s="1">
        <v>25490</v>
      </c>
      <c r="I5" s="1">
        <v>1132</v>
      </c>
      <c r="J5" s="1">
        <v>332.34</v>
      </c>
      <c r="K5" s="1">
        <v>2212.08</v>
      </c>
      <c r="L5" s="1">
        <v>25490</v>
      </c>
      <c r="M5" s="1">
        <v>1132</v>
      </c>
      <c r="N5" s="1">
        <v>350.15</v>
      </c>
      <c r="O5" s="1">
        <v>2264.9</v>
      </c>
      <c r="P5" s="1">
        <v>25490</v>
      </c>
      <c r="Q5" s="1">
        <v>1132</v>
      </c>
      <c r="R5" s="1">
        <v>420.95</v>
      </c>
      <c r="S5" s="1">
        <v>2241.1799999999998</v>
      </c>
      <c r="T5" s="1">
        <v>25490</v>
      </c>
      <c r="U5" s="1">
        <v>1132</v>
      </c>
      <c r="V5" s="3">
        <f t="shared" si="0"/>
        <v>26.40693669081838</v>
      </c>
      <c r="W5" s="3">
        <f t="shared" si="1"/>
        <v>26.288157738448739</v>
      </c>
      <c r="X5" s="3">
        <f t="shared" si="2"/>
        <v>21.050005938947624</v>
      </c>
      <c r="Y5" s="3">
        <f t="shared" si="3"/>
        <v>16.819099655541041</v>
      </c>
    </row>
    <row r="6" spans="1:25">
      <c r="A6" s="1">
        <v>16</v>
      </c>
      <c r="B6" s="1">
        <v>290.83</v>
      </c>
      <c r="C6" s="1">
        <v>943.19</v>
      </c>
      <c r="D6" s="1">
        <v>16638</v>
      </c>
      <c r="E6" s="1">
        <v>844</v>
      </c>
      <c r="F6" s="1">
        <v>294.95</v>
      </c>
      <c r="G6" s="1">
        <v>971.9</v>
      </c>
      <c r="H6" s="1">
        <v>16638</v>
      </c>
      <c r="I6" s="1">
        <v>844</v>
      </c>
      <c r="J6" s="1">
        <v>317.08999999999997</v>
      </c>
      <c r="K6" s="1">
        <v>979.49</v>
      </c>
      <c r="L6" s="1">
        <v>16638</v>
      </c>
      <c r="M6" s="1">
        <v>844</v>
      </c>
      <c r="N6" s="1">
        <v>334.95</v>
      </c>
      <c r="O6" s="1">
        <v>967.67</v>
      </c>
      <c r="P6" s="1">
        <v>16638</v>
      </c>
      <c r="Q6" s="1">
        <v>844</v>
      </c>
      <c r="R6" s="1">
        <v>403.13</v>
      </c>
      <c r="S6" s="1">
        <v>951.94</v>
      </c>
      <c r="T6" s="1">
        <v>16638</v>
      </c>
      <c r="U6" s="1">
        <v>844</v>
      </c>
      <c r="V6" s="3">
        <f t="shared" si="0"/>
        <v>27.85701882767346</v>
      </c>
      <c r="W6" s="3">
        <f t="shared" si="1"/>
        <v>26.835015999801552</v>
      </c>
      <c r="X6" s="3">
        <f t="shared" si="2"/>
        <v>21.342991094684102</v>
      </c>
      <c r="Y6" s="3">
        <f t="shared" si="3"/>
        <v>16.912658447647164</v>
      </c>
    </row>
    <row r="7" spans="1:25">
      <c r="A7" s="1">
        <v>32</v>
      </c>
      <c r="B7" s="1">
        <v>363.34</v>
      </c>
      <c r="C7" s="1">
        <v>639.08000000000004</v>
      </c>
      <c r="D7" s="1">
        <v>10373</v>
      </c>
      <c r="E7" s="1">
        <v>492</v>
      </c>
      <c r="F7" s="1">
        <v>271.13</v>
      </c>
      <c r="G7" s="1">
        <v>462.5</v>
      </c>
      <c r="H7" s="1">
        <v>10373</v>
      </c>
      <c r="I7" s="1">
        <v>492</v>
      </c>
      <c r="J7" s="1">
        <v>354.02</v>
      </c>
      <c r="K7" s="1">
        <v>574.52</v>
      </c>
      <c r="L7" s="1">
        <v>10373</v>
      </c>
      <c r="M7" s="1">
        <v>492</v>
      </c>
      <c r="N7" s="1">
        <v>366.51</v>
      </c>
      <c r="O7" s="1">
        <v>563.19000000000005</v>
      </c>
      <c r="P7" s="1">
        <v>10373</v>
      </c>
      <c r="Q7" s="1">
        <v>492</v>
      </c>
      <c r="R7" s="1">
        <v>380.11</v>
      </c>
      <c r="S7" s="1">
        <v>460.87</v>
      </c>
      <c r="T7" s="1">
        <v>10373</v>
      </c>
      <c r="U7" s="1">
        <v>492</v>
      </c>
      <c r="V7" s="3">
        <f t="shared" si="0"/>
        <v>4.41188077135567</v>
      </c>
      <c r="W7" s="3">
        <f t="shared" si="1"/>
        <v>28.670647970324385</v>
      </c>
      <c r="X7" s="3">
        <f t="shared" si="2"/>
        <v>6.8638025834626903</v>
      </c>
      <c r="Y7" s="3">
        <f t="shared" si="3"/>
        <v>3.577911657151883</v>
      </c>
    </row>
    <row r="8" spans="1:25">
      <c r="A8" s="1">
        <v>64</v>
      </c>
      <c r="B8" s="1">
        <v>316.02</v>
      </c>
      <c r="C8" s="1">
        <v>212.06</v>
      </c>
      <c r="D8" s="1">
        <v>6203</v>
      </c>
      <c r="E8" s="1">
        <v>259</v>
      </c>
      <c r="F8" s="1">
        <v>274.92</v>
      </c>
      <c r="G8" s="1">
        <v>182.94</v>
      </c>
      <c r="H8" s="1">
        <v>6203</v>
      </c>
      <c r="I8" s="1">
        <v>259</v>
      </c>
      <c r="J8" s="1">
        <v>318.94</v>
      </c>
      <c r="K8" s="1">
        <v>204.1</v>
      </c>
      <c r="L8" s="1">
        <v>6203</v>
      </c>
      <c r="M8" s="1">
        <v>259</v>
      </c>
      <c r="N8" s="1">
        <v>388.93</v>
      </c>
      <c r="O8" s="1">
        <v>222.37</v>
      </c>
      <c r="P8" s="1">
        <v>6203</v>
      </c>
      <c r="Q8" s="1">
        <v>259</v>
      </c>
      <c r="R8" s="1">
        <v>466.59</v>
      </c>
      <c r="S8" s="1">
        <v>217.86</v>
      </c>
      <c r="T8" s="1">
        <v>6203</v>
      </c>
      <c r="U8" s="1">
        <v>259</v>
      </c>
      <c r="V8" s="3">
        <f t="shared" si="0"/>
        <v>32.270301549540285</v>
      </c>
      <c r="W8" s="3">
        <f t="shared" si="1"/>
        <v>41.078891532180279</v>
      </c>
      <c r="X8" s="3">
        <f t="shared" si="2"/>
        <v>31.64448445101695</v>
      </c>
      <c r="Y8" s="3">
        <f t="shared" si="3"/>
        <v>16.644162969630717</v>
      </c>
    </row>
    <row r="9" spans="1:25">
      <c r="A9" s="1">
        <v>128</v>
      </c>
      <c r="B9" s="1">
        <v>325.83999999999997</v>
      </c>
      <c r="C9" s="1">
        <v>73.62</v>
      </c>
      <c r="D9" s="1">
        <v>3584</v>
      </c>
      <c r="E9" s="1">
        <v>132</v>
      </c>
      <c r="F9" s="1">
        <v>316.17</v>
      </c>
      <c r="G9" s="1">
        <v>71.19</v>
      </c>
      <c r="H9" s="1">
        <v>3584</v>
      </c>
      <c r="I9" s="1">
        <v>132</v>
      </c>
      <c r="J9" s="1">
        <v>321.97000000000003</v>
      </c>
      <c r="K9" s="1">
        <v>70.67</v>
      </c>
      <c r="L9" s="1">
        <v>3584</v>
      </c>
      <c r="M9" s="1">
        <v>132</v>
      </c>
      <c r="N9" s="1">
        <v>376.09</v>
      </c>
      <c r="O9" s="1">
        <v>75.14</v>
      </c>
      <c r="P9" s="1">
        <v>3584</v>
      </c>
      <c r="Q9" s="1">
        <v>132</v>
      </c>
      <c r="R9" s="1">
        <v>451.87</v>
      </c>
      <c r="S9" s="1">
        <v>71.33</v>
      </c>
      <c r="T9" s="1">
        <v>3584</v>
      </c>
      <c r="U9" s="1">
        <v>132</v>
      </c>
      <c r="V9" s="3">
        <f t="shared" si="0"/>
        <v>27.890765043043363</v>
      </c>
      <c r="W9" s="3">
        <f t="shared" si="1"/>
        <v>30.030761059596781</v>
      </c>
      <c r="X9" s="3">
        <f t="shared" si="2"/>
        <v>28.747206054838777</v>
      </c>
      <c r="Y9" s="3">
        <f t="shared" si="3"/>
        <v>16.770310044924432</v>
      </c>
    </row>
    <row r="10" spans="1:25">
      <c r="A10" s="1">
        <v>256</v>
      </c>
      <c r="B10" s="1">
        <v>312.01</v>
      </c>
      <c r="C10" s="1">
        <v>29.31</v>
      </c>
      <c r="D10" s="1">
        <v>2071</v>
      </c>
      <c r="E10" s="1">
        <v>67</v>
      </c>
      <c r="F10" s="1">
        <v>312.7</v>
      </c>
      <c r="G10" s="1">
        <v>29.85</v>
      </c>
      <c r="H10" s="1">
        <v>2071</v>
      </c>
      <c r="I10" s="1">
        <v>67</v>
      </c>
      <c r="J10" s="1">
        <v>307.64</v>
      </c>
      <c r="K10" s="1">
        <v>27.91</v>
      </c>
      <c r="L10" s="1">
        <v>2071</v>
      </c>
      <c r="M10" s="1">
        <v>67</v>
      </c>
      <c r="N10" s="1">
        <v>359.57</v>
      </c>
      <c r="O10" s="1">
        <v>29.72</v>
      </c>
      <c r="P10" s="1">
        <v>2071</v>
      </c>
      <c r="Q10" s="1">
        <v>67</v>
      </c>
      <c r="R10" s="1">
        <v>456.94</v>
      </c>
      <c r="S10" s="1">
        <v>30.43</v>
      </c>
      <c r="T10" s="1">
        <v>2071</v>
      </c>
      <c r="U10" s="1">
        <v>67</v>
      </c>
      <c r="V10" s="3">
        <f t="shared" si="0"/>
        <v>31.717512146014794</v>
      </c>
      <c r="W10" s="3">
        <f t="shared" si="1"/>
        <v>31.566507637764257</v>
      </c>
      <c r="X10" s="3">
        <f t="shared" si="2"/>
        <v>32.673874031601528</v>
      </c>
      <c r="Y10" s="3">
        <f t="shared" si="3"/>
        <v>21.309143432398127</v>
      </c>
    </row>
  </sheetData>
  <mergeCells count="6">
    <mergeCell ref="V1:Y1"/>
    <mergeCell ref="B1:E1"/>
    <mergeCell ref="F1:I1"/>
    <mergeCell ref="J1:M1"/>
    <mergeCell ref="N1:Q1"/>
    <mergeCell ref="R1:U1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log_2025_02_02_new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Đại Dương</cp:lastModifiedBy>
  <dcterms:modified xsi:type="dcterms:W3CDTF">2025-03-12T16:21:20Z</dcterms:modified>
</cp:coreProperties>
</file>